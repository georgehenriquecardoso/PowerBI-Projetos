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consultoriagpfuturo.sharepoint.com/sites/SistemaImpacto/Documentos Compartilhados/"/>
    </mc:Choice>
  </mc:AlternateContent>
  <xr:revisionPtr revIDLastSave="29108" documentId="14_{A57D0B24-3ADA-42A8-AB3B-4AE5E188CA72}" xr6:coauthVersionLast="47" xr6:coauthVersionMax="47" xr10:uidLastSave="{0D82BDE3-B075-4668-91A6-D262FA192BA5}"/>
  <bookViews>
    <workbookView xWindow="-103" yWindow="-103" windowWidth="29006" windowHeight="17486" xr2:uid="{00000000-000D-0000-FFFF-FFFF00000000}"/>
  </bookViews>
  <sheets>
    <sheet name="BancoDeDados" sheetId="1" r:id="rId1"/>
    <sheet name="Planilha2" sheetId="6" r:id="rId2"/>
    <sheet name="CadastroMovimentacoes" sheetId="2" r:id="rId3"/>
    <sheet name="CadastroCategorias" sheetId="4" r:id="rId4"/>
  </sheets>
  <definedNames>
    <definedName name="_xlnm._FilterDatabase" localSheetId="2" hidden="1">CadastroMovimentacoes!$A$1:$A$170</definedName>
    <definedName name="DadosExternos_1" localSheetId="0" hidden="1">BancoDeDados!$A$1:$D$277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6" i="2" l="1"/>
  <c r="D167" i="2"/>
  <c r="D168" i="2"/>
  <c r="D169" i="2"/>
  <c r="D170" i="2"/>
  <c r="E166" i="2"/>
  <c r="E167" i="2"/>
  <c r="E168" i="2"/>
  <c r="E169" i="2"/>
  <c r="E170" i="2"/>
  <c r="F166" i="2"/>
  <c r="F167" i="2"/>
  <c r="F168" i="2"/>
  <c r="F169" i="2"/>
  <c r="F170" i="2"/>
  <c r="D165" i="2"/>
  <c r="E165" i="2"/>
  <c r="F165" i="2"/>
  <c r="D163" i="2"/>
  <c r="D164" i="2"/>
  <c r="E163" i="2"/>
  <c r="E164" i="2"/>
  <c r="F163" i="2"/>
  <c r="F164" i="2"/>
  <c r="D162" i="2"/>
  <c r="E162" i="2"/>
  <c r="F162" i="2"/>
  <c r="D157" i="2"/>
  <c r="D158" i="2"/>
  <c r="D159" i="2"/>
  <c r="D160" i="2"/>
  <c r="D161" i="2"/>
  <c r="E157" i="2"/>
  <c r="E158" i="2"/>
  <c r="E159" i="2"/>
  <c r="E160" i="2"/>
  <c r="E161" i="2"/>
  <c r="F157" i="2"/>
  <c r="F158" i="2"/>
  <c r="F159" i="2"/>
  <c r="F160" i="2"/>
  <c r="F161" i="2"/>
  <c r="D155" i="2"/>
  <c r="D156" i="2"/>
  <c r="E155" i="2"/>
  <c r="E156" i="2"/>
  <c r="F155" i="2"/>
  <c r="F156" i="2"/>
  <c r="D151" i="2"/>
  <c r="D152" i="2"/>
  <c r="D153" i="2"/>
  <c r="D154" i="2"/>
  <c r="E151" i="2"/>
  <c r="E152" i="2"/>
  <c r="E153" i="2"/>
  <c r="E154" i="2"/>
  <c r="F151" i="2"/>
  <c r="F152" i="2"/>
  <c r="F153" i="2"/>
  <c r="F154" i="2"/>
  <c r="D150" i="2"/>
  <c r="E150" i="2"/>
  <c r="F150" i="2"/>
  <c r="D149" i="2"/>
  <c r="E149" i="2"/>
  <c r="F149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D136" i="2"/>
  <c r="E136" i="2"/>
  <c r="F136" i="2"/>
  <c r="D132" i="2"/>
  <c r="D133" i="2"/>
  <c r="D134" i="2"/>
  <c r="D135" i="2"/>
  <c r="E132" i="2"/>
  <c r="E133" i="2"/>
  <c r="E134" i="2"/>
  <c r="E135" i="2"/>
  <c r="F132" i="2"/>
  <c r="F133" i="2"/>
  <c r="F134" i="2"/>
  <c r="F135" i="2"/>
  <c r="D130" i="2"/>
  <c r="D131" i="2"/>
  <c r="E130" i="2"/>
  <c r="E131" i="2"/>
  <c r="F130" i="2"/>
  <c r="F131" i="2"/>
  <c r="D121" i="2"/>
  <c r="D122" i="2"/>
  <c r="D123" i="2"/>
  <c r="D124" i="2"/>
  <c r="D125" i="2"/>
  <c r="D126" i="2"/>
  <c r="D127" i="2"/>
  <c r="D128" i="2"/>
  <c r="D129" i="2"/>
  <c r="E121" i="2"/>
  <c r="E122" i="2"/>
  <c r="E123" i="2"/>
  <c r="E124" i="2"/>
  <c r="E125" i="2"/>
  <c r="E126" i="2"/>
  <c r="E127" i="2"/>
  <c r="E128" i="2"/>
  <c r="E129" i="2"/>
  <c r="F121" i="2"/>
  <c r="F122" i="2"/>
  <c r="F123" i="2"/>
  <c r="F124" i="2"/>
  <c r="F125" i="2"/>
  <c r="F126" i="2"/>
  <c r="F127" i="2"/>
  <c r="F128" i="2"/>
  <c r="F129" i="2"/>
  <c r="D120" i="2"/>
  <c r="E120" i="2"/>
  <c r="F120" i="2"/>
  <c r="D116" i="2"/>
  <c r="D117" i="2"/>
  <c r="D118" i="2"/>
  <c r="D119" i="2"/>
  <c r="E116" i="2"/>
  <c r="E117" i="2"/>
  <c r="E118" i="2"/>
  <c r="E119" i="2"/>
  <c r="F116" i="2"/>
  <c r="F117" i="2"/>
  <c r="F118" i="2"/>
  <c r="F119" i="2"/>
  <c r="D113" i="2"/>
  <c r="D114" i="2"/>
  <c r="D115" i="2"/>
  <c r="E113" i="2"/>
  <c r="E114" i="2"/>
  <c r="E115" i="2"/>
  <c r="F113" i="2"/>
  <c r="F114" i="2"/>
  <c r="F115" i="2"/>
  <c r="D103" i="2"/>
  <c r="D104" i="2"/>
  <c r="D105" i="2"/>
  <c r="D106" i="2"/>
  <c r="D107" i="2"/>
  <c r="D108" i="2"/>
  <c r="D109" i="2"/>
  <c r="D110" i="2"/>
  <c r="D111" i="2"/>
  <c r="D112" i="2"/>
  <c r="E103" i="2"/>
  <c r="E104" i="2"/>
  <c r="E105" i="2"/>
  <c r="E106" i="2"/>
  <c r="E107" i="2"/>
  <c r="E108" i="2"/>
  <c r="E109" i="2"/>
  <c r="E110" i="2"/>
  <c r="E111" i="2"/>
  <c r="E112" i="2"/>
  <c r="F103" i="2"/>
  <c r="F104" i="2"/>
  <c r="F105" i="2"/>
  <c r="F106" i="2"/>
  <c r="F107" i="2"/>
  <c r="F108" i="2"/>
  <c r="F109" i="2"/>
  <c r="F110" i="2"/>
  <c r="F111" i="2"/>
  <c r="F112" i="2"/>
  <c r="D102" i="2"/>
  <c r="E102" i="2"/>
  <c r="F102" i="2"/>
  <c r="D98" i="2"/>
  <c r="D99" i="2"/>
  <c r="D100" i="2"/>
  <c r="D101" i="2"/>
  <c r="E98" i="2"/>
  <c r="E99" i="2"/>
  <c r="E100" i="2"/>
  <c r="E101" i="2"/>
  <c r="F98" i="2"/>
  <c r="F99" i="2"/>
  <c r="F100" i="2"/>
  <c r="F101" i="2"/>
  <c r="D97" i="2"/>
  <c r="E97" i="2"/>
  <c r="F97" i="2"/>
  <c r="D96" i="2"/>
  <c r="E96" i="2"/>
  <c r="F96" i="2"/>
  <c r="D95" i="2"/>
  <c r="E95" i="2"/>
  <c r="F95" i="2"/>
  <c r="D94" i="2"/>
  <c r="E94" i="2"/>
  <c r="F94" i="2"/>
  <c r="D93" i="2"/>
  <c r="E93" i="2"/>
  <c r="F93" i="2"/>
  <c r="D92" i="2"/>
  <c r="E92" i="2"/>
  <c r="F92" i="2"/>
  <c r="D91" i="2"/>
  <c r="E91" i="2"/>
  <c r="F91" i="2"/>
  <c r="D90" i="2"/>
  <c r="E90" i="2"/>
  <c r="F90" i="2"/>
  <c r="D89" i="2"/>
  <c r="E89" i="2"/>
  <c r="F89" i="2"/>
  <c r="D88" i="2"/>
  <c r="E88" i="2"/>
  <c r="F88" i="2"/>
  <c r="D87" i="2"/>
  <c r="E87" i="2"/>
  <c r="F87" i="2"/>
  <c r="D86" i="2"/>
  <c r="E86" i="2"/>
  <c r="F86" i="2"/>
  <c r="D85" i="2"/>
  <c r="E85" i="2"/>
  <c r="F85" i="2"/>
  <c r="D84" i="2"/>
  <c r="E84" i="2"/>
  <c r="F84" i="2"/>
  <c r="D83" i="2"/>
  <c r="E83" i="2"/>
  <c r="F83" i="2"/>
  <c r="D82" i="2"/>
  <c r="E82" i="2"/>
  <c r="F82" i="2"/>
  <c r="D81" i="2"/>
  <c r="E81" i="2"/>
  <c r="F81" i="2"/>
  <c r="D80" i="2"/>
  <c r="E80" i="2"/>
  <c r="F80" i="2"/>
  <c r="D79" i="2"/>
  <c r="E79" i="2"/>
  <c r="F79" i="2"/>
  <c r="D78" i="2"/>
  <c r="E78" i="2"/>
  <c r="F78" i="2"/>
  <c r="D77" i="2"/>
  <c r="E77" i="2"/>
  <c r="F77" i="2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D32" i="2"/>
  <c r="E32" i="2"/>
  <c r="F32" i="2"/>
  <c r="F18" i="2"/>
  <c r="F39" i="2"/>
  <c r="F68" i="2"/>
  <c r="F28" i="2"/>
  <c r="F46" i="2"/>
  <c r="F62" i="2"/>
  <c r="F54" i="2"/>
  <c r="F2" i="2"/>
  <c r="F16" i="2"/>
  <c r="E75" i="2"/>
  <c r="E30" i="2"/>
  <c r="D76" i="2"/>
  <c r="F76" i="2"/>
  <c r="D75" i="2"/>
  <c r="F75" i="2"/>
  <c r="D74" i="2"/>
  <c r="F74" i="2"/>
  <c r="D73" i="2"/>
  <c r="E73" i="2"/>
  <c r="F73" i="2"/>
  <c r="D72" i="2"/>
  <c r="E72" i="2"/>
  <c r="F72" i="2"/>
  <c r="D71" i="2"/>
  <c r="E71" i="2"/>
  <c r="F71" i="2"/>
  <c r="D70" i="2"/>
  <c r="E70" i="2"/>
  <c r="F70" i="2"/>
  <c r="D69" i="2"/>
  <c r="E69" i="2"/>
  <c r="D68" i="2"/>
  <c r="E68" i="2"/>
  <c r="D67" i="2"/>
  <c r="E67" i="2"/>
  <c r="F67" i="2"/>
  <c r="D66" i="2"/>
  <c r="E66" i="2"/>
  <c r="F66" i="2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D65" i="2"/>
  <c r="E65" i="2"/>
  <c r="F65" i="2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I116" i="1"/>
  <c r="I115" i="1"/>
  <c r="I114" i="1"/>
  <c r="I113" i="1"/>
  <c r="M113" i="1"/>
  <c r="I112" i="1"/>
  <c r="M112" i="1"/>
  <c r="I111" i="1"/>
  <c r="M111" i="1"/>
  <c r="I110" i="1"/>
  <c r="M110" i="1"/>
  <c r="I109" i="1"/>
  <c r="M109" i="1"/>
  <c r="I108" i="1"/>
  <c r="M108" i="1"/>
  <c r="I107" i="1"/>
  <c r="M107" i="1"/>
  <c r="I106" i="1"/>
  <c r="M106" i="1"/>
  <c r="I105" i="1"/>
  <c r="M105" i="1"/>
  <c r="I104" i="1"/>
  <c r="M104" i="1"/>
  <c r="I103" i="1"/>
  <c r="M103" i="1"/>
  <c r="I102" i="1"/>
  <c r="M102" i="1"/>
  <c r="I101" i="1"/>
  <c r="M101" i="1"/>
  <c r="I100" i="1"/>
  <c r="M100" i="1"/>
  <c r="I99" i="1"/>
  <c r="M99" i="1"/>
  <c r="I98" i="1"/>
  <c r="M98" i="1"/>
  <c r="I97" i="1"/>
  <c r="M97" i="1"/>
  <c r="I96" i="1"/>
  <c r="M96" i="1"/>
  <c r="I95" i="1"/>
  <c r="M95" i="1"/>
  <c r="I94" i="1"/>
  <c r="M94" i="1"/>
  <c r="I93" i="1"/>
  <c r="M93" i="1"/>
  <c r="I92" i="1"/>
  <c r="M92" i="1"/>
  <c r="I91" i="1"/>
  <c r="M91" i="1"/>
  <c r="I90" i="1"/>
  <c r="M90" i="1"/>
  <c r="I89" i="1"/>
  <c r="M89" i="1"/>
  <c r="I88" i="1"/>
  <c r="M88" i="1"/>
  <c r="I87" i="1"/>
  <c r="M87" i="1"/>
  <c r="I86" i="1"/>
  <c r="M86" i="1"/>
  <c r="I85" i="1"/>
  <c r="M85" i="1"/>
  <c r="I84" i="1"/>
  <c r="M84" i="1"/>
  <c r="I83" i="1"/>
  <c r="M83" i="1"/>
  <c r="I82" i="1"/>
  <c r="M82" i="1"/>
  <c r="I81" i="1"/>
  <c r="M81" i="1"/>
  <c r="I80" i="1"/>
  <c r="M80" i="1"/>
  <c r="I79" i="1"/>
  <c r="M79" i="1"/>
  <c r="I78" i="1"/>
  <c r="M78" i="1"/>
  <c r="I77" i="1"/>
  <c r="M77" i="1"/>
  <c r="I76" i="1"/>
  <c r="M76" i="1"/>
  <c r="I75" i="1"/>
  <c r="M75" i="1"/>
  <c r="I74" i="1"/>
  <c r="M74" i="1"/>
  <c r="I73" i="1"/>
  <c r="M73" i="1"/>
  <c r="I72" i="1"/>
  <c r="M72" i="1"/>
  <c r="I71" i="1"/>
  <c r="M71" i="1"/>
  <c r="I70" i="1"/>
  <c r="M70" i="1"/>
  <c r="I69" i="1"/>
  <c r="M69" i="1"/>
  <c r="I68" i="1"/>
  <c r="M68" i="1"/>
  <c r="I67" i="1"/>
  <c r="M67" i="1"/>
  <c r="I66" i="1"/>
  <c r="M66" i="1"/>
  <c r="I65" i="1"/>
  <c r="M65" i="1"/>
  <c r="I64" i="1"/>
  <c r="M64" i="1"/>
  <c r="I63" i="1"/>
  <c r="M63" i="1"/>
  <c r="I62" i="1"/>
  <c r="M62" i="1"/>
  <c r="I61" i="1"/>
  <c r="M61" i="1"/>
  <c r="I60" i="1"/>
  <c r="M60" i="1"/>
  <c r="I59" i="1"/>
  <c r="M59" i="1"/>
  <c r="I58" i="1"/>
  <c r="M58" i="1"/>
  <c r="I57" i="1"/>
  <c r="M57" i="1"/>
  <c r="I56" i="1"/>
  <c r="M56" i="1"/>
  <c r="I55" i="1"/>
  <c r="M55" i="1"/>
  <c r="I54" i="1"/>
  <c r="M54" i="1"/>
  <c r="I53" i="1"/>
  <c r="M53" i="1"/>
  <c r="I52" i="1"/>
  <c r="M52" i="1"/>
  <c r="I51" i="1"/>
  <c r="M51" i="1"/>
  <c r="I50" i="1"/>
  <c r="M50" i="1"/>
  <c r="D30" i="2"/>
  <c r="D31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E33" i="2"/>
  <c r="E34" i="2"/>
  <c r="E35" i="2"/>
  <c r="E37" i="2"/>
  <c r="E39" i="2"/>
  <c r="E41" i="2"/>
  <c r="E42" i="2"/>
  <c r="E43" i="2"/>
  <c r="E44" i="2"/>
  <c r="E45" i="2"/>
  <c r="E46" i="2"/>
  <c r="E47" i="2"/>
  <c r="E49" i="2"/>
  <c r="E50" i="2"/>
  <c r="E51" i="2"/>
  <c r="E52" i="2"/>
  <c r="E53" i="2"/>
  <c r="E54" i="2"/>
  <c r="E55" i="2"/>
  <c r="E57" i="2"/>
  <c r="E58" i="2"/>
  <c r="E59" i="2"/>
  <c r="E60" i="2"/>
  <c r="E61" i="2"/>
  <c r="E62" i="2"/>
  <c r="E63" i="2"/>
  <c r="F30" i="2"/>
  <c r="F31" i="2"/>
  <c r="F33" i="2"/>
  <c r="F35" i="2"/>
  <c r="F36" i="2"/>
  <c r="F37" i="2"/>
  <c r="F38" i="2"/>
  <c r="F40" i="2"/>
  <c r="F42" i="2"/>
  <c r="F43" i="2"/>
  <c r="F44" i="2"/>
  <c r="F45" i="2"/>
  <c r="F48" i="2"/>
  <c r="F49" i="2"/>
  <c r="F51" i="2"/>
  <c r="F52" i="2"/>
  <c r="F53" i="2"/>
  <c r="F56" i="2"/>
  <c r="F60" i="2"/>
  <c r="F61" i="2"/>
  <c r="F64" i="2"/>
  <c r="I49" i="1"/>
  <c r="M49" i="1"/>
  <c r="D29" i="2"/>
  <c r="E29" i="2"/>
  <c r="F29" i="2"/>
  <c r="I48" i="1"/>
  <c r="M48" i="1"/>
  <c r="D28" i="2"/>
  <c r="E28" i="2"/>
  <c r="I47" i="1"/>
  <c r="M47" i="1"/>
  <c r="D27" i="2"/>
  <c r="E27" i="2"/>
  <c r="I42" i="1"/>
  <c r="I43" i="1"/>
  <c r="I44" i="1"/>
  <c r="I45" i="1"/>
  <c r="I46" i="1"/>
  <c r="M42" i="1"/>
  <c r="M43" i="1"/>
  <c r="M44" i="1"/>
  <c r="M45" i="1"/>
  <c r="M46" i="1"/>
  <c r="D26" i="2"/>
  <c r="F26" i="2"/>
  <c r="D25" i="2"/>
  <c r="E25" i="2"/>
  <c r="D24" i="2"/>
  <c r="F24" i="2"/>
  <c r="I41" i="1"/>
  <c r="M41" i="1"/>
  <c r="D23" i="2"/>
  <c r="E23" i="2"/>
  <c r="F23" i="2"/>
  <c r="I40" i="1"/>
  <c r="M40" i="1"/>
  <c r="D22" i="2"/>
  <c r="E22" i="2"/>
  <c r="I39" i="1"/>
  <c r="M39" i="1"/>
  <c r="I38" i="1"/>
  <c r="M38" i="1"/>
  <c r="I37" i="1"/>
  <c r="M37" i="1"/>
  <c r="I36" i="1"/>
  <c r="M36" i="1"/>
  <c r="I35" i="1"/>
  <c r="M35" i="1"/>
  <c r="I34" i="1"/>
  <c r="M34" i="1"/>
  <c r="I33" i="1"/>
  <c r="M33" i="1"/>
  <c r="I32" i="1"/>
  <c r="M32" i="1"/>
  <c r="I31" i="1"/>
  <c r="M31" i="1"/>
  <c r="I30" i="1"/>
  <c r="M30" i="1"/>
  <c r="I29" i="1"/>
  <c r="M29" i="1"/>
  <c r="I28" i="1"/>
  <c r="M28" i="1"/>
  <c r="I27" i="1"/>
  <c r="M27" i="1"/>
  <c r="D21" i="2"/>
  <c r="E21" i="2"/>
  <c r="D20" i="2"/>
  <c r="E20" i="2"/>
  <c r="F20" i="2"/>
  <c r="D19" i="2"/>
  <c r="E19" i="2"/>
  <c r="F19" i="2"/>
  <c r="D18" i="2"/>
  <c r="E18" i="2"/>
  <c r="D17" i="2"/>
  <c r="E17" i="2"/>
  <c r="D16" i="2"/>
  <c r="E16" i="2"/>
  <c r="D15" i="2"/>
  <c r="E15" i="2"/>
  <c r="D14" i="2"/>
  <c r="E14" i="2"/>
  <c r="F14" i="2"/>
  <c r="D13" i="2"/>
  <c r="E13" i="2"/>
  <c r="D12" i="2"/>
  <c r="E12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F3" i="2"/>
  <c r="F4" i="2"/>
  <c r="F5" i="2"/>
  <c r="F6" i="2"/>
  <c r="F7" i="2"/>
  <c r="F11" i="2"/>
  <c r="E3" i="2"/>
  <c r="E4" i="2"/>
  <c r="E5" i="2"/>
  <c r="E6" i="2"/>
  <c r="E7" i="2"/>
  <c r="E8" i="2"/>
  <c r="E9" i="2"/>
  <c r="E10" i="2"/>
  <c r="E11" i="2"/>
  <c r="E2" i="2"/>
  <c r="D3" i="2"/>
  <c r="D4" i="2"/>
  <c r="D5" i="2"/>
  <c r="D6" i="2"/>
  <c r="D7" i="2"/>
  <c r="D8" i="2"/>
  <c r="D9" i="2"/>
  <c r="D10" i="2"/>
  <c r="D11" i="2"/>
  <c r="D2" i="2"/>
  <c r="F9" i="2" l="1"/>
  <c r="F17" i="2"/>
  <c r="F59" i="2"/>
  <c r="F8" i="2"/>
  <c r="F12" i="2"/>
  <c r="F22" i="2"/>
  <c r="F58" i="2"/>
  <c r="F50" i="2"/>
  <c r="F34" i="2"/>
  <c r="F10" i="2"/>
  <c r="F57" i="2"/>
  <c r="F69" i="2"/>
  <c r="F41" i="2"/>
  <c r="F13" i="2"/>
  <c r="F21" i="2"/>
  <c r="F27" i="2"/>
  <c r="F63" i="2"/>
  <c r="F55" i="2"/>
  <c r="F47" i="2"/>
  <c r="F15" i="2"/>
  <c r="F25" i="2"/>
  <c r="E24" i="2"/>
  <c r="E36" i="2"/>
  <c r="E76" i="2"/>
  <c r="E74" i="2"/>
  <c r="E64" i="2"/>
  <c r="E56" i="2"/>
  <c r="E48" i="2"/>
  <c r="E40" i="2"/>
  <c r="E31" i="2"/>
  <c r="E26" i="2"/>
  <c r="E3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EDF861-3EE6-445C-A1DA-C46BE8C7F385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CF6A90AD-0DD0-4081-BD20-A0B85CEF74D9}" keepAlive="1" name="Consulta - ArquivoDeAmostra_Bradesco" description="Conexão com a consulta 'ArquivoDeAmostra_Bradesco' na pasta de trabalho." type="5" refreshedVersion="0" background="1">
    <dbPr connection="Provider=Microsoft.Mashup.OleDb.1;Data Source=$Workbook$;Location=ArquivoDeAmostra_Bradesco;Extended Properties=&quot;&quot;" command="SELECT * FROM [ArquivoDeAmostra_Bradesco]"/>
  </connection>
  <connection id="3" xr16:uid="{258C785B-7DF1-406C-B906-B94D6BA4EE7B}" keepAlive="1" name="Consulta - ArquivoDeAmostra_Itau (3)" description="Conexão com a consulta 'ArquivoDeAmostra_Itau (3)' na pasta de trabalho." type="5" refreshedVersion="0" background="1">
    <dbPr connection="Provider=Microsoft.Mashup.OleDb.1;Data Source=$Workbook$;Location=&quot;ArquivoDeAmostra_Itau (3)&quot;;Extended Properties=&quot;&quot;" command="SELECT * FROM [ArquivoDeAmostra_Itau (3)]"/>
  </connection>
  <connection id="4" xr16:uid="{A33F9DA1-678B-495C-A26A-F2641083E157}" keepAlive="1" name="Consulta - ArquivodeAmostra_PagSeguro" description="Conexão com a consulta 'ArquivodeAmostra_PagSeguro' na pasta de trabalho." type="5" refreshedVersion="0" background="1">
    <dbPr connection="Provider=Microsoft.Mashup.OleDb.1;Data Source=$Workbook$;Location=ArquivodeAmostra_PagSeguro;Extended Properties=&quot;&quot;" command="SELECT * FROM [ArquivodeAmostra_PagSeguro]"/>
  </connection>
  <connection id="5" xr16:uid="{3970C673-7DE3-47D4-8A3E-BAE5DD535B46}" keepAlive="1" name="Consulta - ArquivoDeAmostra_Santander (2)" description="Conexão com a consulta 'ArquivoDeAmostra_Santander (2)' na pasta de trabalho." type="5" refreshedVersion="0" background="1">
    <dbPr connection="Provider=Microsoft.Mashup.OleDb.1;Data Source=$Workbook$;Location=&quot;ArquivoDeAmostra_Santander (2)&quot;;Extended Properties=&quot;&quot;" command="SELECT * FROM [ArquivoDeAmostra_Santander (2)]"/>
  </connection>
  <connection id="6" xr16:uid="{FE570315-7176-4164-B551-4D7CE407B0CB}" keepAlive="1" name="Consulta - BancosMesclados" description="Conexão com a consulta 'BancosMesclados' na pasta de trabalho." type="5" refreshedVersion="8" background="1" saveData="1">
    <dbPr connection="Provider=Microsoft.Mashup.OleDb.1;Data Source=$Workbook$;Location=BancosMesclados;Extended Properties=&quot;&quot;" command="SELECT * FROM [BancosMesclados]"/>
  </connection>
  <connection id="7" xr16:uid="{E3A7AF7A-3FF9-4B9C-A644-10002C3B1486}" keepAlive="1" interval="10" name="Consulta - BradescoTransformado" description="Conexão com a consulta 'BradescoTransformado' na pasta de trabalho." type="5" refreshedVersion="8" background="1" saveData="1">
    <dbPr connection="Provider=Microsoft.Mashup.OleDb.1;Data Source=$Workbook$;Location=BradescoTransformado;Extended Properties=&quot;&quot;" command="SELECT * FROM [BradescoTransformado]"/>
  </connection>
  <connection id="8" xr16:uid="{A7C5BB72-E97F-4787-B63F-924B8708F7F8}" keepAlive="1" name="Consulta - InterTransformado" description="Conexão com a consulta 'InterTransformado' na pasta de trabalho." type="5" refreshedVersion="0" background="1" saveData="1">
    <dbPr connection="Provider=Microsoft.Mashup.OleDb.1;Data Source=$Workbook$;Location=InterTransformado;Extended Properties=&quot;&quot;" command="SELECT * FROM [InterTransformado]"/>
  </connection>
  <connection id="9" xr16:uid="{C2EBAD99-8494-4E13-AFFE-3E2372A6EC84}" keepAlive="1" name="Consulta - ItauTransformado" description="Conexão com a consulta 'ItauTransformado' na pasta de trabalho." type="5" refreshedVersion="0" background="1" saveData="1">
    <dbPr connection="Provider=Microsoft.Mashup.OleDb.1;Data Source=$Workbook$;Location=ItauTransformado;Extended Properties=&quot;&quot;" command="SELECT * FROM [ItauTransformado]"/>
  </connection>
  <connection id="10" xr16:uid="{DD085BD7-4325-45BA-9653-5A909C33B2D7}" keepAlive="1" name="Consulta - PagSeguroTransformado" description="Conexão com a consulta 'PagSeguroTransformado' na pasta de trabalho." type="5" refreshedVersion="0" background="1" saveData="1">
    <dbPr connection="Provider=Microsoft.Mashup.OleDb.1;Data Source=$Workbook$;Location=PagSeguroTransformado;Extended Properties=&quot;&quot;" command="SELECT * FROM [PagSeguroTransformado]"/>
  </connection>
  <connection id="11" xr16:uid="{EFCA80F5-A9D3-4CC4-B990-1DD1BBC5CE86}" keepAlive="1" name="Consulta - Parâmetro_PagSeguro" description="Conexão com a consulta 'Parâmetro_PagSeguro' na pasta de trabalho." type="5" refreshedVersion="0" background="1">
    <dbPr connection="Provider=Microsoft.Mashup.OleDb.1;Data Source=$Workbook$;Location=Parâmetro_PagSeguro;Extended Properties=&quot;&quot;" command="SELECT * FROM [Parâmetro_PagSeguro]"/>
  </connection>
  <connection id="12" xr16:uid="{7AFF71B6-27E6-416E-9B5D-0CC050D470CC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3" xr16:uid="{CF58FBE6-7F19-47E1-93E0-AD7473DF7C2D}" keepAlive="1" name="Consulta - Parâmetro1_Bradesco" description="Conexão com a consulta 'Parâmetro1_Bradesco' na pasta de trabalho." type="5" refreshedVersion="0" background="1">
    <dbPr connection="Provider=Microsoft.Mashup.OleDb.1;Data Source=$Workbook$;Location=Parâmetro1_Bradesco;Extended Properties=&quot;&quot;" command="SELECT * FROM [Parâmetro1_Bradesco]"/>
  </connection>
  <connection id="14" xr16:uid="{A8C17B9F-F090-4A6F-A039-824676C77870}" keepAlive="1" name="Consulta - Parâmetro2_Santander" description="Conexão com a consulta 'Parâmetro2_Santander' na pasta de trabalho." type="5" refreshedVersion="0" background="1">
    <dbPr connection="Provider=Microsoft.Mashup.OleDb.1;Data Source=$Workbook$;Location=Parâmetro2_Santander;Extended Properties=&quot;&quot;" command="SELECT * FROM [Parâmetro2_Santander]"/>
  </connection>
  <connection id="15" xr16:uid="{D66E422A-8642-4D7E-8332-C346EAB50BB7}" keepAlive="1" name="Consulta - Parâmetro3_Itau" description="Conexão com a consulta 'Parâmetro3_Itau' na pasta de trabalho." type="5" refreshedVersion="0" background="1">
    <dbPr connection="Provider=Microsoft.Mashup.OleDb.1;Data Source=$Workbook$;Location=Parâmetro3_Itau;Extended Properties=&quot;&quot;" command="SELECT * FROM [Parâmetro3_Itau]"/>
  </connection>
  <connection id="16" xr16:uid="{E2F9C6C4-589E-4941-B5CE-C8D7CFF76F52}" keepAlive="1" name="Consulta - SantanderTransformado" description="Conexão com a consulta 'SantanderTransformado' na pasta de trabalho." type="5" refreshedVersion="0" background="1">
    <dbPr connection="Provider=Microsoft.Mashup.OleDb.1;Data Source=$Workbook$;Location=SantanderTransformado;Extended Properties=&quot;&quot;" command="SELECT * FROM [SantanderTransformado]"/>
  </connection>
  <connection id="17" xr16:uid="{A55BCDD0-E306-48BC-9D41-C230B8E8DFBF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8" xr16:uid="{523D64EB-36E7-45C2-87C8-4542F999D107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9" xr16:uid="{D8CF7EA6-83EE-4D02-8384-441356F7E7C4}" keepAlive="1" name="Consulta - TransformarArquivo_Bradesco" description="Conexão com a consulta 'TransformarArquivo_Bradesco' na pasta de trabalho." type="5" refreshedVersion="0" background="1">
    <dbPr connection="Provider=Microsoft.Mashup.OleDb.1;Data Source=$Workbook$;Location=TransformarArquivo_Bradesco;Extended Properties=&quot;&quot;" command="SELECT * FROM [TransformarArquivo_Bradesco]"/>
  </connection>
  <connection id="20" xr16:uid="{EF7D5784-E68F-4301-B14D-D4014A26497D}" keepAlive="1" name="Consulta - TransformarArquivo_Itau (3)" description="Conexão com a consulta 'TransformarArquivo_Itau (3)' na pasta de trabalho." type="5" refreshedVersion="0" background="1">
    <dbPr connection="Provider=Microsoft.Mashup.OleDb.1;Data Source=$Workbook$;Location=&quot;TransformarArquivo_Itau (3)&quot;;Extended Properties=&quot;&quot;" command="SELECT * FROM [TransformarArquivo_Itau (3)]"/>
  </connection>
  <connection id="21" xr16:uid="{61B962C3-2A37-418E-A43E-D48467363DDC}" keepAlive="1" name="Consulta - TransformarArquivo_PagSeguro" description="Conexão com a consulta 'TransformarArquivo_PagSeguro' na pasta de trabalho." type="5" refreshedVersion="0" background="1">
    <dbPr connection="Provider=Microsoft.Mashup.OleDb.1;Data Source=$Workbook$;Location=TransformarArquivo_PagSeguro;Extended Properties=&quot;&quot;" command="SELECT * FROM [TransformarArquivo_PagSeguro]"/>
  </connection>
  <connection id="22" xr16:uid="{4EF17FB5-8C17-4FE0-AC16-171C53938FCF}" keepAlive="1" name="Consulta - TransformarArquivo_Santander (2)" description="Conexão com a consulta 'TransformarArquivo_Santander (2)' na pasta de trabalho." type="5" refreshedVersion="0" background="1">
    <dbPr connection="Provider=Microsoft.Mashup.OleDb.1;Data Source=$Workbook$;Location=&quot;TransformarArquivo_Santander (2)&quot;;Extended Properties=&quot;&quot;" command="SELECT * FROM [TransformarArquivo_Santander (2)]"/>
  </connection>
  <connection id="23" xr16:uid="{980E46DF-A852-4769-AD91-A9A856CA838A}" keepAlive="1" name="Consulta - TransformarOArquivoDeExemplo_Bradesco" description="Conexão com a consulta 'TransformarOArquivoDeExemplo_Bradesco' na pasta de trabalho." type="5" refreshedVersion="0" background="1">
    <dbPr connection="Provider=Microsoft.Mashup.OleDb.1;Data Source=$Workbook$;Location=TransformarOArquivoDeExemplo_Bradesco;Extended Properties=&quot;&quot;" command="SELECT * FROM [TransformarOArquivoDeExemplo_Bradesco]"/>
  </connection>
  <connection id="24" xr16:uid="{44E3B5D2-6190-4F3F-85F5-F2AE26CDECC1}" keepAlive="1" name="Consulta - TransformarOArquivoDeExemplo_Itau (3)" description="Conexão com a consulta 'TransformarOArquivoDeExemplo_Itau (3)' na pasta de trabalho." type="5" refreshedVersion="0" background="1">
    <dbPr connection="Provider=Microsoft.Mashup.OleDb.1;Data Source=$Workbook$;Location=&quot;TransformarOArquivoDeExemplo_Itau (3)&quot;;Extended Properties=&quot;&quot;" command="SELECT * FROM [TransformarOArquivoDeExemplo_Itau (3)]"/>
  </connection>
  <connection id="25" xr16:uid="{46E85987-9732-46EA-976A-837C242BA3BD}" keepAlive="1" name="Consulta - TransformarOArquivoDeExemplo_PagSeguro" description="Conexão com a consulta 'TransformarOArquivoDeExemplo_PagSeguro' na pasta de trabalho." type="5" refreshedVersion="0" background="1">
    <dbPr connection="Provider=Microsoft.Mashup.OleDb.1;Data Source=$Workbook$;Location=TransformarOArquivoDeExemplo_PagSeguro;Extended Properties=&quot;&quot;" command="SELECT * FROM [TransformarOArquivoDeExemplo_PagSeguro]"/>
  </connection>
  <connection id="26" xr16:uid="{52B3A2D1-0F4D-4145-A44A-E6F124B217E8}" keepAlive="1" name="Consulta - TransformarOArquivoDeExemplo_Santander (2)" description="Conexão com a consulta 'TransformarOArquivoDeExemplo_Santander (2)' na pasta de trabalho." type="5" refreshedVersion="0" background="1">
    <dbPr connection="Provider=Microsoft.Mashup.OleDb.1;Data Source=$Workbook$;Location=&quot;TransformarOArquivoDeExemplo_Santander (2)&quot;;Extended Properties=&quot;&quot;" command="SELECT * FROM [TransformarOArquivoDeExemplo_Santander (2)]"/>
  </connection>
</connections>
</file>

<file path=xl/sharedStrings.xml><?xml version="1.0" encoding="utf-8"?>
<sst xmlns="http://schemas.openxmlformats.org/spreadsheetml/2006/main" count="2098" uniqueCount="206">
  <si>
    <t>Data</t>
  </si>
  <si>
    <t>Historico</t>
  </si>
  <si>
    <t>TRANSFERENCIA PIX</t>
  </si>
  <si>
    <t>MORA CAPITAL DE GIRO</t>
  </si>
  <si>
    <t>PGTO SALARIO VIA NET EMP</t>
  </si>
  <si>
    <t>TARIFA BANCARIA</t>
  </si>
  <si>
    <t>PAGTO ELETRON COBRANCA</t>
  </si>
  <si>
    <t>GASTOS CARTAO DE CREDITO</t>
  </si>
  <si>
    <t>DEP DINH C/C C/CART BDN</t>
  </si>
  <si>
    <t>DEP DINH C/C S/CART BDN</t>
  </si>
  <si>
    <t>TED-TRANSF ELET DISPON</t>
  </si>
  <si>
    <t>OPERACAO CAPITAL GIRO</t>
  </si>
  <si>
    <t>Movimentacoes</t>
  </si>
  <si>
    <t>Conta</t>
  </si>
  <si>
    <t>GrupoConta</t>
  </si>
  <si>
    <t>001.0001 - Salários</t>
  </si>
  <si>
    <t>001 - Funcionários</t>
  </si>
  <si>
    <t>100.0034 - Empréstimo</t>
  </si>
  <si>
    <t>100 - Custo Variável</t>
  </si>
  <si>
    <t>100.0027 - Tarifa bancária</t>
  </si>
  <si>
    <t>100.0033 - Freelancer</t>
  </si>
  <si>
    <t>100.0025 - Cartão de crédito</t>
  </si>
  <si>
    <t xml:space="preserve">100.0023 - Impostos </t>
  </si>
  <si>
    <t>100.0007 - Encargos</t>
  </si>
  <si>
    <t>001.0002 - Horas Extras</t>
  </si>
  <si>
    <t>001.0004 - Décimo Terceiro</t>
  </si>
  <si>
    <t>001.0005 - Férias</t>
  </si>
  <si>
    <t>001.0006 - Pró-labore</t>
  </si>
  <si>
    <t>002.0001 - FGTS</t>
  </si>
  <si>
    <t>002 - Encargos</t>
  </si>
  <si>
    <t>002.0002 - FGTS Rescisões</t>
  </si>
  <si>
    <t>002.0003 - INSS</t>
  </si>
  <si>
    <t>003.0001 - Transporte</t>
  </si>
  <si>
    <t>003 - Benefícios</t>
  </si>
  <si>
    <t>003.0002 - Plano de Saúde</t>
  </si>
  <si>
    <t>003.0003 - Vale Alimentação</t>
  </si>
  <si>
    <t>003.0004 - Vale Refeição</t>
  </si>
  <si>
    <t>003.0005 - Cesta Básica</t>
  </si>
  <si>
    <t>004.0001 - Aluguéis</t>
  </si>
  <si>
    <t>004 - Manutenção</t>
  </si>
  <si>
    <t>004.0002 - Manutenção de Equipamentos</t>
  </si>
  <si>
    <t>004.0003 - Manutenção Predial</t>
  </si>
  <si>
    <t>004.0006 - Sistema</t>
  </si>
  <si>
    <t>005.0001 - Energia Elétrica</t>
  </si>
  <si>
    <t>005 - Utilidades</t>
  </si>
  <si>
    <t>005.0002 - Água</t>
  </si>
  <si>
    <t>005.0003 - Esgoto</t>
  </si>
  <si>
    <t>005.0004 - Combustíveis</t>
  </si>
  <si>
    <t>005.0005 - Gás</t>
  </si>
  <si>
    <t>005.0006 - Seguros</t>
  </si>
  <si>
    <t>006.0001 - Taxas e Impostos</t>
  </si>
  <si>
    <t>006 - Operações</t>
  </si>
  <si>
    <t>006.0005 - Viagens</t>
  </si>
  <si>
    <t xml:space="preserve">006.0006 - Uniformes </t>
  </si>
  <si>
    <t>006.0010 - Fretes</t>
  </si>
  <si>
    <t>006.0011 - Serviços Terceirizados</t>
  </si>
  <si>
    <t>006.0013 - Assessoria</t>
  </si>
  <si>
    <t>006.0014 - Consultorias</t>
  </si>
  <si>
    <t>006.0015 - Contabilidade</t>
  </si>
  <si>
    <t>006.0020 - Anuidade</t>
  </si>
  <si>
    <t>006.0022 - Marketing</t>
  </si>
  <si>
    <t>006.0023 - Provisionamento Impacto</t>
  </si>
  <si>
    <t>100.0001 - Bonificação</t>
  </si>
  <si>
    <t>100.0002 - Combustível</t>
  </si>
  <si>
    <t>100.0004 - Compra de ativo fixo</t>
  </si>
  <si>
    <t>100.0005 - Cursos e treinamentos</t>
  </si>
  <si>
    <t>100.0006 - Despesas com locomoção</t>
  </si>
  <si>
    <t>100.0010 - Juros</t>
  </si>
  <si>
    <t>100.0011 - Manutenção de equipamentos</t>
  </si>
  <si>
    <t>100.0012 - Manutenção predial</t>
  </si>
  <si>
    <t>100.0013 - Material de escritório e limpeza</t>
  </si>
  <si>
    <t>100.0016 - Estacionamento</t>
  </si>
  <si>
    <t>100.0019 - Medicina ocupacional e segurança do trabalho</t>
  </si>
  <si>
    <t>100.0026 - Telefone e internet</t>
  </si>
  <si>
    <t>100.0028 - Pedágio</t>
  </si>
  <si>
    <t>100.0031 - Compra de produtos e insumos</t>
  </si>
  <si>
    <t xml:space="preserve">100.0032 - Devolução </t>
  </si>
  <si>
    <t>100.0035 - IOF</t>
  </si>
  <si>
    <t>100.0036 - DARF</t>
  </si>
  <si>
    <t>100.0037 - DAS</t>
  </si>
  <si>
    <t>100.0038 - Simples nacional</t>
  </si>
  <si>
    <t>100.0040 - Marketing Facebook</t>
  </si>
  <si>
    <t>100.0041 - Marketing Google</t>
  </si>
  <si>
    <t>100.0042 - Google Ads</t>
  </si>
  <si>
    <t>CodConta</t>
  </si>
  <si>
    <t>CodContaContabil</t>
  </si>
  <si>
    <t>2.3.2</t>
  </si>
  <si>
    <t>2.4.1</t>
  </si>
  <si>
    <t>Pessoa Física</t>
  </si>
  <si>
    <t>CodCliente</t>
  </si>
  <si>
    <t>Servico</t>
  </si>
  <si>
    <t>200.0001 - Venda de Produtos</t>
  </si>
  <si>
    <t>200.0002 - Venda de Serviços</t>
  </si>
  <si>
    <t>200 - Vendas</t>
  </si>
  <si>
    <t>1.1.1</t>
  </si>
  <si>
    <t>1.1.2</t>
  </si>
  <si>
    <t>2.1.1</t>
  </si>
  <si>
    <t>Lançamento</t>
  </si>
  <si>
    <t>PIX ENVIADO VALESCA MOURA VAZ</t>
  </si>
  <si>
    <t>COMPRA CARTAO DEB MC 23/08 PAG.EduardoMesquita</t>
  </si>
  <si>
    <t>PAGAMENTO DE BOLETO OUTROS BANCOS IMOB FERNANDO</t>
  </si>
  <si>
    <t>PIX RECEBIDO CLINICA MEDICA</t>
  </si>
  <si>
    <t>JUROS SALDO UTILIZ ATE LIMITE PERIODO: 19/07 A 18/08/23</t>
  </si>
  <si>
    <t>SEGURO CHEQUE PROTEGIDO PERIODO: 19/07 A 18/08/23</t>
  </si>
  <si>
    <t>SAQUE BANCO 24HS 18/08 15:58</t>
  </si>
  <si>
    <t>PIX ENVIADO CASSIO CARDOSO QUIRINO</t>
  </si>
  <si>
    <t>COMPRA CARTAO DEB MC 17/08 DM .Spotif</t>
  </si>
  <si>
    <t>PAGAMENTO CONTA LUZ EM CANAIS INTERNET LIGHT SERV ELETR 000000</t>
  </si>
  <si>
    <t>DEBITO AUT. TELEFONE CELULAR CLARO MOVEL</t>
  </si>
  <si>
    <t>PIX ENVIADO Hariel de Albuquerque Oli</t>
  </si>
  <si>
    <t>PIX ENVIADO JOSIMAR DE CARVALHO CAVAL</t>
  </si>
  <si>
    <t>PIX RECEBIDO - DIF TIT GLORIA APARECIDA ALVES LO</t>
  </si>
  <si>
    <t>PIX ENVIADO Gilson da Gama Jambeiro F</t>
  </si>
  <si>
    <t>MENSALIDADE CTA COMB UNIVERSIT FIT JULHO / 2023</t>
  </si>
  <si>
    <t>TED 237.0927.JORGE L P</t>
  </si>
  <si>
    <t>PIX TRANSF Bianca 21/08</t>
  </si>
  <si>
    <t>DA AMPLA 000005034843</t>
  </si>
  <si>
    <t>DA AMPLA 000005464309</t>
  </si>
  <si>
    <t>DA AMPLA 000005034855</t>
  </si>
  <si>
    <t>DEB AUTOR PORTOSEG SA CR</t>
  </si>
  <si>
    <t>DA TIM CELU 92068640006</t>
  </si>
  <si>
    <t>PIX TRANSF DIALAS 11/08</t>
  </si>
  <si>
    <t>PIX TRANSF BIANCA 10/08</t>
  </si>
  <si>
    <t>PIX TRANSF ALCENIR10/08</t>
  </si>
  <si>
    <t>INT PAG TIT 175243845804</t>
  </si>
  <si>
    <t>INT PAG TIT 886754970772</t>
  </si>
  <si>
    <t>PIX TRANSF ALCENIR09/08</t>
  </si>
  <si>
    <t>INT PAG TIT 175456079741</t>
  </si>
  <si>
    <t>CREDIARIO ITAU 851</t>
  </si>
  <si>
    <t>PIX TRANSF Bianca 08/08</t>
  </si>
  <si>
    <t>PIX TRANSF DIEGO L07/08</t>
  </si>
  <si>
    <t>INT PAG TIT BANCO 001</t>
  </si>
  <si>
    <t>Bradesco_PF001.PDF</t>
  </si>
  <si>
    <t>Santander_PF004.pdf</t>
  </si>
  <si>
    <t>Itau_PJ006.pdf</t>
  </si>
  <si>
    <t>PagSeguro_PF004.pdf</t>
  </si>
  <si>
    <t>Vendas - Plano de Recebimento</t>
  </si>
  <si>
    <t>Pagamento de conta - Controlid Ind Com De H E S T</t>
  </si>
  <si>
    <t>Pix enviado - Centro De Beleza, Saude E. O. -. Eireli</t>
  </si>
  <si>
    <t>Pix enviado - Centro De Beleza Saude E Estetica Orofacial Eir</t>
  </si>
  <si>
    <t>Pix enviado - Camila Almeida Braga Da Cruz</t>
  </si>
  <si>
    <t>QR Code Pix enviado - Pjbank</t>
  </si>
  <si>
    <t>Pix enviado - Marcos Andre Monteiro Da Rocha Lopes</t>
  </si>
  <si>
    <t>QR Code Pix enviado - Veronica Rodrigues Da Silva</t>
  </si>
  <si>
    <t>Pix enviado - Maria Cristina De Oliveira Das Neves</t>
  </si>
  <si>
    <t>QR Code Pix enviado - Márcio Vinício Farias</t>
  </si>
  <si>
    <t>QR Code Pix enviado - Oren Solucoes Em Marketing</t>
  </si>
  <si>
    <t>Pagamento de conta - Claro Sp Ddd 11</t>
  </si>
  <si>
    <t>Pagamento de conta - Innovapharma Brl. Farmaceutica Ltda</t>
  </si>
  <si>
    <t>Pagamento de conta - Phd Do Brasil Farmacia De Manipulacao Ltda</t>
  </si>
  <si>
    <t>Pagamento de conta - Innovapharma Brasil Farmaceutica Ltda</t>
  </si>
  <si>
    <t>QR Code Pix enviado - Light Servicos De Eletricidade S A</t>
  </si>
  <si>
    <t>Pix enviado - Gleice Maria Da Silva Araujo</t>
  </si>
  <si>
    <t>Pix enviado - Harmony Express</t>
  </si>
  <si>
    <t>Pix enviado - Lourival Alexandre Batista Jr</t>
  </si>
  <si>
    <t>2.3.3</t>
  </si>
  <si>
    <t>2.3.1</t>
  </si>
  <si>
    <t>2.3.5</t>
  </si>
  <si>
    <t>2.3.6</t>
  </si>
  <si>
    <t>Pessoa Jurídica</t>
  </si>
  <si>
    <t>2.1.2</t>
  </si>
  <si>
    <t>2.3.4</t>
  </si>
  <si>
    <t>Banco</t>
  </si>
  <si>
    <t>Bradesco_PJ031.PDF</t>
  </si>
  <si>
    <t>RECEBIMENTO FORNECEDOR
SUBADQUIRENTE BEN BENEFICIOS</t>
  </si>
  <si>
    <t>RESGATE INVEST FACIL</t>
  </si>
  <si>
    <t>CARTAO CREDITO ANUIDADE</t>
  </si>
  <si>
    <t>OPERACAO CAPITAL GIRO
CONTR 016294300 PARC 003/036</t>
  </si>
  <si>
    <t>RECEBIMENTO FORNECEDOR
BANCO DIGIO S.A</t>
  </si>
  <si>
    <t>PAGTO ELETRON COBRANCA
BRADESCO VIDA E PREVIDENCIA</t>
  </si>
  <si>
    <t>APLIC.INVEST FACIL</t>
  </si>
  <si>
    <t>PAGTO ELETRON COBRANCA
BRADESCO SEG-RESID/OUTROS</t>
  </si>
  <si>
    <t>TRANSFERENCIA PIX
REM: Banco VR 09/01</t>
  </si>
  <si>
    <t>TED-TRANSF ELET DISPON
REMET.BANCO TOPAZIO S.A.</t>
  </si>
  <si>
    <t>APLICACAO AUTOMATICA</t>
  </si>
  <si>
    <t>SALDO INVEST FÁCIL</t>
  </si>
  <si>
    <t>RECEBIMENTO FORNECEDOR SUBADQUIRENTE BEN BENEFICIOS</t>
  </si>
  <si>
    <t>2.3.7</t>
  </si>
  <si>
    <t>2.3.8</t>
  </si>
  <si>
    <t>2.3.9</t>
  </si>
  <si>
    <t>1.2.1</t>
  </si>
  <si>
    <t>Itau_PJ043.pdf</t>
  </si>
  <si>
    <t>REDE ELO DB095104780</t>
  </si>
  <si>
    <t>REDE MAST DB095104780</t>
  </si>
  <si>
    <t>REDE VISA DB095104780</t>
  </si>
  <si>
    <t>PIX TRANSF ANDREA 06/01</t>
  </si>
  <si>
    <t>PIX TRANSF GABRIEL06/01</t>
  </si>
  <si>
    <t>PIX TRANSF VIVIANE06/01</t>
  </si>
  <si>
    <t>REDE MC 095104780</t>
  </si>
  <si>
    <t>REDE VS 095104780</t>
  </si>
  <si>
    <t>PIX TRANSF CASSIA 09/01</t>
  </si>
  <si>
    <t>SISPAG PIX TRANSFERENCI</t>
  </si>
  <si>
    <t>REDE AM 095104780</t>
  </si>
  <si>
    <t>REDE EL 095104780</t>
  </si>
  <si>
    <t>SISPAG BOLET OUTR BCO</t>
  </si>
  <si>
    <t>PIX TRANSF WAGNER 22/01</t>
  </si>
  <si>
    <t>PIX TRANSF MATHEUS25/01</t>
  </si>
  <si>
    <t>PIX TRANSF Natalia27/01</t>
  </si>
  <si>
    <t>SISPAG CONCESSIONARIA</t>
  </si>
  <si>
    <t>200.0003 - Receita - Rede</t>
  </si>
  <si>
    <t>201 - Vendas</t>
  </si>
  <si>
    <t>200.0004 - Receita - Pix</t>
  </si>
  <si>
    <t>PIX QRS CONSOLIDADO</t>
  </si>
  <si>
    <t>REND PAGO APLIC AUT MAIS</t>
  </si>
  <si>
    <t>Total Geral</t>
  </si>
  <si>
    <t>Rótulos de 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</si>
</sst>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5B9BD5"/>
        <bgColor rgb="FF5B9BD5"/>
      </patternFill>
    </fill>
    <fill>
      <patternFill patternType="solid">
        <fgColor rgb="FFBDD7EE"/>
        <bgColor rgb="FFBDD7EE"/>
      </patternFill>
    </fill>
    <fill>
      <patternFill patternType="solid">
        <fgColor rgb="FFDDEBF7"/>
        <bgColor rgb="FFDDEBF7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rgb="FFFFFFFF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44" fontId="0" fillId="0" borderId="0" xfId="1" applyFont="1"/>
    <xf numFmtId="0" fontId="3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44" fontId="0" fillId="0" borderId="0" xfId="0" applyNumberFormat="1"/>
    <xf numFmtId="0" fontId="5" fillId="3" borderId="0" xfId="0" applyFont="1" applyFill="1"/>
    <xf numFmtId="0" fontId="5" fillId="3" borderId="3" xfId="0" applyFont="1" applyFill="1" applyBorder="1"/>
    <xf numFmtId="0" fontId="5" fillId="3" borderId="4" xfId="0" applyFont="1" applyFill="1" applyBorder="1"/>
    <xf numFmtId="0" fontId="3" fillId="4" borderId="0" xfId="0" applyFont="1" applyFill="1"/>
    <xf numFmtId="0" fontId="3" fillId="5" borderId="0" xfId="0" applyFont="1" applyFill="1"/>
    <xf numFmtId="0" fontId="6" fillId="0" borderId="5" xfId="0" applyFont="1" applyBorder="1"/>
    <xf numFmtId="0" fontId="5" fillId="0" borderId="5" xfId="0" applyFont="1" applyBorder="1"/>
    <xf numFmtId="0" fontId="5" fillId="0" borderId="0" xfId="0" applyFont="1"/>
    <xf numFmtId="0" fontId="7" fillId="0" borderId="5" xfId="0" applyFont="1" applyBorder="1"/>
    <xf numFmtId="0" fontId="7" fillId="0" borderId="0" xfId="0" applyFont="1"/>
    <xf numFmtId="0" fontId="7" fillId="0" borderId="6" xfId="0" applyFont="1" applyBorder="1"/>
    <xf numFmtId="0" fontId="3" fillId="0" borderId="7" xfId="0" applyFont="1" applyBorder="1"/>
    <xf numFmtId="0" fontId="3" fillId="0" borderId="8" xfId="0" applyFont="1" applyBorder="1"/>
    <xf numFmtId="44" fontId="0" fillId="0" borderId="0" xfId="1" applyFont="1" applyAlignment="1"/>
    <xf numFmtId="14" fontId="0" fillId="0" borderId="0" xfId="1" applyNumberFormat="1" applyFont="1"/>
    <xf numFmtId="0" fontId="8" fillId="0" borderId="0" xfId="0" applyFont="1"/>
    <xf numFmtId="0" fontId="0" fillId="0" borderId="0" xfId="0" applyNumberFormat="1"/>
    <xf numFmtId="44" fontId="0" fillId="0" borderId="0" xfId="0" applyNumberFormat="1" applyAlignment="1"/>
    <xf numFmtId="0" fontId="3" fillId="0" borderId="0" xfId="0" applyFont="1" applyFill="1"/>
    <xf numFmtId="0" fontId="3" fillId="5" borderId="9" xfId="0" applyFont="1" applyFill="1" applyBorder="1"/>
    <xf numFmtId="0" fontId="3" fillId="5" borderId="10" xfId="0" applyFont="1" applyFill="1" applyBorder="1"/>
    <xf numFmtId="0" fontId="3" fillId="5" borderId="0" xfId="0" applyFont="1" applyFill="1" applyBorder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DEBF7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DEBF7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DEBF7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DEBF7"/>
          <bgColor rgb="FFDDEBF7"/>
        </patternFill>
      </fill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DEBF7"/>
          <bgColor rgb="FFDDEBF7"/>
        </patternFill>
      </fill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rgb="FF9BC2E6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alignment horizontal="general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175260</xdr:colOff>
      <xdr:row>0</xdr:row>
      <xdr:rowOff>102870</xdr:rowOff>
    </xdr:from>
    <xdr:to>
      <xdr:col>5</xdr:col>
      <xdr:colOff>270510</xdr:colOff>
      <xdr:row>1</xdr:row>
      <xdr:rowOff>175260</xdr:rowOff>
    </xdr:to>
    <xdr:sp macro="[0]!AgendarAtualiz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6C1244-B802-E596-E20E-7A14B461EF6B}"/>
            </a:ext>
          </a:extLst>
        </xdr:cNvPr>
        <xdr:cNvSpPr/>
      </xdr:nvSpPr>
      <xdr:spPr>
        <a:xfrm>
          <a:off x="6324600" y="102870"/>
          <a:ext cx="735330" cy="25527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Iniciar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orge Henrique" refreshedDate="45324.695540972221" createdVersion="8" refreshedVersion="8" minRefreshableVersion="3" recordCount="113" xr:uid="{37BEE7E2-B21F-4CD8-A079-D4A02AC01E00}">
  <cacheSource type="worksheet">
    <worksheetSource name="Tabela1"/>
  </cacheSource>
  <cacheFields count="1">
    <cacheField name="Valores" numFmtId="0">
      <sharedItems containsSemiMixedTypes="0" containsString="0" containsNumber="1" minValue="-11100" maxValue="2639" count="110">
        <n v="2"/>
        <n v="639.04999999999995"/>
        <n v="105.74"/>
        <n v="1252.6300000000001"/>
        <n v="593.25"/>
        <n v="99"/>
        <n v="20"/>
        <n v="39"/>
        <n v="113"/>
        <n v="402.73"/>
        <n v="68.11"/>
        <n v="2304.16"/>
        <n v="1262.98"/>
        <n v="165"/>
        <n v="429.39"/>
        <n v="835.31"/>
        <n v="375.49"/>
        <n v="237"/>
        <n v="306"/>
        <n v="1250.47"/>
        <n v="684.18"/>
        <n v="440"/>
        <n v="-2000"/>
        <n v="287.85000000000002"/>
        <n v="460.98"/>
        <n v="301.07"/>
        <n v="345.57"/>
        <n v="146.31"/>
        <n v="173"/>
        <n v="-320"/>
        <n v="94.97"/>
        <n v="1172.69"/>
        <n v="966.37"/>
        <n v="1112.01"/>
        <n v="462.6"/>
        <n v="452"/>
        <n v="146.09"/>
        <n v="189.01"/>
        <n v="241.52"/>
        <n v="2571.8200000000002"/>
        <n v="1082.27"/>
        <n v="280.5"/>
        <n v="-808.58"/>
        <n v="-446.3"/>
        <n v="-11100"/>
        <n v="182.98"/>
        <n v="131.55000000000001"/>
        <n v="85.67"/>
        <n v="11.55"/>
        <n v="0.13"/>
        <n v="89"/>
        <n v="-120"/>
        <n v="66.709999999999994"/>
        <n v="96.94"/>
        <n v="38.57"/>
        <n v="599.58000000000004"/>
        <n v="453.96"/>
        <n v="25"/>
        <n v="87.32"/>
        <n v="165.18"/>
        <n v="71.38"/>
        <n v="571.09"/>
        <n v="61"/>
        <n v="-262.2"/>
        <n v="-5000"/>
        <n v="77.510000000000005"/>
        <n v="1201.74"/>
        <n v="263.08999999999997"/>
        <n v="679.4"/>
        <n v="178"/>
        <n v="0.03"/>
        <n v="70.2"/>
        <n v="496.54"/>
        <n v="113.06"/>
        <n v="2639"/>
        <n v="1626.7"/>
        <n v="68"/>
        <n v="607.29999999999995"/>
        <n v="314.54000000000002"/>
        <n v="421.33"/>
        <n v="86.95"/>
        <n v="416"/>
        <n v="184.96"/>
        <n v="170.13"/>
        <n v="1861.49"/>
        <n v="611.13"/>
        <n v="306.13"/>
        <n v="-315"/>
        <n v="1150.83"/>
        <n v="87.04"/>
        <n v="604.9"/>
        <n v="104.34"/>
        <n v="362.54"/>
        <n v="-997"/>
        <n v="-45"/>
        <n v="415"/>
        <n v="1339.24"/>
        <n v="759.81"/>
        <n v="315.92"/>
        <n v="96"/>
        <n v="205"/>
        <n v="1934.59"/>
        <n v="1410.63"/>
        <n v="88"/>
        <n v="-112.06"/>
        <n v="156.28"/>
        <n v="77.150000000000006"/>
        <n v="151.68"/>
        <n v="47.34"/>
        <n v="0.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7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59"/>
  </r>
  <r>
    <x v="97"/>
  </r>
  <r>
    <x v="98"/>
  </r>
  <r>
    <x v="99"/>
  </r>
  <r>
    <x v="100"/>
  </r>
  <r>
    <x v="101"/>
  </r>
  <r>
    <x v="102"/>
  </r>
  <r>
    <x v="103"/>
  </r>
  <r>
    <x v="104"/>
  </r>
  <r>
    <x v="64"/>
  </r>
  <r>
    <x v="105"/>
  </r>
  <r>
    <x v="106"/>
  </r>
  <r>
    <x v="107"/>
  </r>
  <r>
    <x v="108"/>
  </r>
  <r>
    <x v="1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436D9-C10F-49EB-90F6-1AC4262995B0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114" firstHeaderRow="1" firstDataRow="1" firstDataCol="1"/>
  <pivotFields count="1">
    <pivotField axis="axisRow" showAll="0">
      <items count="111">
        <item x="44"/>
        <item x="64"/>
        <item x="22"/>
        <item x="93"/>
        <item x="42"/>
        <item x="43"/>
        <item x="29"/>
        <item x="87"/>
        <item x="63"/>
        <item x="51"/>
        <item x="104"/>
        <item x="94"/>
        <item x="70"/>
        <item x="49"/>
        <item x="109"/>
        <item x="0"/>
        <item x="48"/>
        <item x="6"/>
        <item x="57"/>
        <item x="54"/>
        <item x="7"/>
        <item x="108"/>
        <item x="62"/>
        <item x="52"/>
        <item x="76"/>
        <item x="10"/>
        <item x="71"/>
        <item x="60"/>
        <item x="106"/>
        <item x="65"/>
        <item x="47"/>
        <item x="80"/>
        <item x="89"/>
        <item x="58"/>
        <item x="103"/>
        <item x="50"/>
        <item x="30"/>
        <item x="99"/>
        <item x="53"/>
        <item x="5"/>
        <item x="91"/>
        <item x="2"/>
        <item x="8"/>
        <item x="73"/>
        <item x="46"/>
        <item x="36"/>
        <item x="27"/>
        <item x="107"/>
        <item x="105"/>
        <item x="13"/>
        <item x="59"/>
        <item x="83"/>
        <item x="28"/>
        <item x="69"/>
        <item x="45"/>
        <item x="82"/>
        <item x="37"/>
        <item x="100"/>
        <item x="17"/>
        <item x="38"/>
        <item x="67"/>
        <item x="41"/>
        <item x="23"/>
        <item x="25"/>
        <item x="18"/>
        <item x="86"/>
        <item x="78"/>
        <item x="98"/>
        <item x="26"/>
        <item x="92"/>
        <item x="16"/>
        <item x="9"/>
        <item x="95"/>
        <item x="81"/>
        <item x="79"/>
        <item x="14"/>
        <item x="21"/>
        <item x="35"/>
        <item x="56"/>
        <item x="24"/>
        <item x="34"/>
        <item x="72"/>
        <item x="61"/>
        <item x="4"/>
        <item x="55"/>
        <item x="90"/>
        <item x="77"/>
        <item x="85"/>
        <item x="1"/>
        <item x="68"/>
        <item x="20"/>
        <item x="97"/>
        <item x="15"/>
        <item x="32"/>
        <item x="40"/>
        <item x="33"/>
        <item x="88"/>
        <item x="31"/>
        <item x="66"/>
        <item x="19"/>
        <item x="3"/>
        <item x="12"/>
        <item x="96"/>
        <item x="102"/>
        <item x="75"/>
        <item x="84"/>
        <item x="101"/>
        <item x="11"/>
        <item x="39"/>
        <item x="74"/>
        <item t="default"/>
      </items>
    </pivotField>
  </pivotFields>
  <rowFields count="1">
    <field x="0"/>
  </rowFields>
  <rowItems count="1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BD2865A6-B89C-40F0-A476-414094FD4961}" autoFormatId="16" applyNumberFormats="0" applyBorderFormats="0" applyFontFormats="0" applyPatternFormats="0" applyAlignmentFormats="0" applyWidthHeightFormats="0">
  <queryTableRefresh nextId="5">
    <queryTableFields count="4">
      <queryTableField id="1" name="CodCliente" tableColumnId="1"/>
      <queryTableField id="2" name="Data" tableColumnId="2"/>
      <queryTableField id="3" name="Historico" tableColumnId="3"/>
      <queryTableField id="4" name="Lançamento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B69A68-DB01-40AC-AC30-B1277CE931F6}" name="TabelaFinal" displayName="TabelaFinal" ref="G1:N256" totalsRowShown="0" headerRowDxfId="25" headerRowBorderDxfId="24" tableBorderDxfId="23">
  <autoFilter ref="G1:N256" xr:uid="{99B69A68-DB01-40AC-AC30-B1277CE931F6}"/>
  <tableColumns count="8">
    <tableColumn id="8" xr3:uid="{B3DB7C2E-5760-4336-B7F7-8241A809EC89}" name="CodCliente" dataDxfId="22">
      <calculatedColumnFormula>MID(BancosMesclados[[#This Row],[CodCliente]],SEARCH("_",BancosMesclados[[#This Row],[CodCliente]])+1,SEARCH(".",BancosMesclados[[#This Row],[CodCliente]])-SEARCH("_",BancosMesclados[[#This Row],[CodCliente]])-1)</calculatedColumnFormula>
    </tableColumn>
    <tableColumn id="10" xr3:uid="{49DC0CBF-2929-4F94-8D1F-9CC6CBB695A8}" name="Servico" dataDxfId="21"/>
    <tableColumn id="1" xr3:uid="{C9A9403E-8E05-45E5-A6CF-A89C51980F0A}" name="Data" dataDxfId="20">
      <calculatedColumnFormula>BancosMesclados[[#This Row],[Data]]</calculatedColumnFormula>
    </tableColumn>
    <tableColumn id="2" xr3:uid="{941C0D2B-1646-466E-B368-ACA1D6B37D7C}" name="Conta"/>
    <tableColumn id="3" xr3:uid="{AB90F1B8-C2F5-4448-BB5F-DFB9CACFF783}" name="GrupoConta"/>
    <tableColumn id="9" xr3:uid="{6799B7BA-FB37-45A1-B008-AD40717E1D0E}" name="CodConta"/>
    <tableColumn id="5" xr3:uid="{4BE59366-DBDA-43DA-972A-1562867560A1}" name="Lançamento" dataDxfId="19">
      <calculatedColumnFormula>BancosMesclados[[#This Row],[Lançamento]]</calculatedColumnFormula>
    </tableColumn>
    <tableColumn id="4" xr3:uid="{17C6E481-116A-4E4E-B299-B414F0753C55}" name="Banco" dataDxfId="18">
      <calculatedColumnFormula>MID(BancosMesclados[[#This Row],[CodCliente]],1,SEARCH("_",BancosMesclados[[#This Row],[CodCliente]])-1)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A12B61-D71A-4D1D-8E95-00B47E7542A7}" name="BancosMesclados" displayName="BancosMesclados" ref="A1:D277" tableType="queryTable" totalsRowShown="0">
  <autoFilter ref="A1:D277" xr:uid="{5FA12B61-D71A-4D1D-8E95-00B47E7542A7}"/>
  <tableColumns count="4">
    <tableColumn id="1" xr3:uid="{4A3E0D32-8733-4F24-86A6-5F634C625F2C}" uniqueName="1" name="CodCliente" queryTableFieldId="1" dataDxfId="8"/>
    <tableColumn id="2" xr3:uid="{D75B0586-E5C6-4905-A7FF-8892D68A67E8}" uniqueName="2" name="Data" queryTableFieldId="2" dataDxfId="7"/>
    <tableColumn id="3" xr3:uid="{A8E3832F-3A89-4C05-A185-E2AE6F6C9123}" uniqueName="3" name="Historico" queryTableFieldId="3"/>
    <tableColumn id="4" xr3:uid="{E2309CA4-983C-4C24-865D-5F5AD580EC23}" uniqueName="4" name="Lançamento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6A40B3-3DDE-43AC-979C-207931538285}" name="TabelaCadastroMovimentacoes" displayName="TabelaCadastroMovimentacoes" ref="A1:A170" totalsRowShown="0" headerRowDxfId="17" dataDxfId="16" tableBorderDxfId="15">
  <autoFilter ref="A1:A170" xr:uid="{61638D87-1CB7-4DF5-A735-292AA627CD74}"/>
  <tableColumns count="1">
    <tableColumn id="1" xr3:uid="{6A654F15-89A8-4D1F-B28B-C6D54E2C7850}" name="Movimentacoes" dataDxfId="14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0040AB-33FA-4565-9AC4-39AF6D02391E}" name="TabelaTransformada" displayName="TabelaTransformada" ref="C1:F170" totalsRowShown="0" dataDxfId="6">
  <autoFilter ref="C1:F170" xr:uid="{D60040AB-33FA-4565-9AC4-39AF6D02391E}"/>
  <tableColumns count="4">
    <tableColumn id="1" xr3:uid="{8AF973C8-A62B-447D-A45F-E04E0194FF3A}" name="Conta" dataDxfId="5"/>
    <tableColumn id="2" xr3:uid="{B5EB158C-8C4E-46FF-80AE-059A445D4697}" name="GrupoConta" dataDxfId="4">
      <calculatedColumnFormula>_xlfn.XLOOKUP(TabelaTransformada[[#This Row],[Conta]],TabelaCadastroCategorias[Conta],TabelaCadastroCategorias[GrupoConta],"Não encontrado")</calculatedColumnFormula>
    </tableColumn>
    <tableColumn id="3" xr3:uid="{015FF92F-CE4E-4727-B9C4-8339DF0222D4}" name="CodConta" dataDxfId="3">
      <calculatedColumnFormula>_xlfn.XLOOKUP(TabelaTransformada[[#This Row],[Conta]],TabelaCadastroCategorias[Conta],TabelaCadastroCategorias[CodConta],"Não encontrado")</calculatedColumnFormula>
    </tableColumn>
    <tableColumn id="4" xr3:uid="{74E2F3BE-64FC-4B1E-A85D-D4CD02219726}" name="CodContaContabil" dataDxfId="2">
      <calculatedColumnFormula>_xlfn.XLOOKUP(TabelaTransformada[[#This Row],[Conta]],TabelaCadastroCategorias[Conta],TabelaCadastroCategorias[CodContaContabil],"Não encontrado")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CE78DB-EC0C-4BF3-9728-09319D20AA7A}" name="TabelaCadastroCategorias" displayName="TabelaCadastroCategorias" ref="A1:D67" totalsRowShown="0" dataDxfId="13">
  <autoFilter ref="A1:D67" xr:uid="{B0CE78DB-EC0C-4BF3-9728-09319D20AA7A}"/>
  <tableColumns count="4">
    <tableColumn id="1" xr3:uid="{B580322E-6253-42D0-859F-F20F25AB8E02}" name="Conta" dataDxfId="12"/>
    <tableColumn id="2" xr3:uid="{8805F990-A419-48B1-B995-117FBD410C4B}" name="GrupoConta" dataDxfId="11"/>
    <tableColumn id="3" xr3:uid="{3212DF42-D0AA-4427-AC0D-A561DAFCE76C}" name="CodConta" dataDxfId="10"/>
    <tableColumn id="4" xr3:uid="{DA236662-D8F5-4869-9D54-9ADB797D788E}" name="CodContaContabil" dataDxfId="9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278"/>
  <sheetViews>
    <sheetView tabSelected="1" topLeftCell="A180" zoomScale="80" zoomScaleNormal="80" workbookViewId="0">
      <selection activeCell="J201" sqref="J201"/>
    </sheetView>
  </sheetViews>
  <sheetFormatPr defaultColWidth="8.84375" defaultRowHeight="14.6" x14ac:dyDescent="0.4"/>
  <cols>
    <col min="1" max="1" width="19.07421875" bestFit="1" customWidth="1"/>
    <col min="2" max="2" width="10.921875" bestFit="1" customWidth="1"/>
    <col min="3" max="3" width="63.3046875" bestFit="1" customWidth="1"/>
    <col min="4" max="4" width="13.84375" bestFit="1" customWidth="1"/>
    <col min="5" max="5" width="13.23046875" bestFit="1" customWidth="1"/>
    <col min="6" max="6" width="7.921875" bestFit="1" customWidth="1"/>
    <col min="7" max="7" width="8.921875" bestFit="1" customWidth="1"/>
    <col min="8" max="8" width="11.921875" bestFit="1" customWidth="1"/>
    <col min="9" max="9" width="10.84375" bestFit="1" customWidth="1"/>
    <col min="10" max="10" width="36.4609375" bestFit="1" customWidth="1"/>
    <col min="11" max="11" width="17.3046875" bestFit="1" customWidth="1"/>
    <col min="12" max="12" width="24.69140625" bestFit="1" customWidth="1"/>
    <col min="13" max="13" width="23.3828125" bestFit="1" customWidth="1"/>
    <col min="14" max="14" width="9.3046875" bestFit="1" customWidth="1"/>
    <col min="15" max="15" width="9.3828125" bestFit="1" customWidth="1"/>
    <col min="16" max="16" width="8.765625" bestFit="1" customWidth="1"/>
    <col min="17" max="17" width="11.23046875" bestFit="1" customWidth="1"/>
  </cols>
  <sheetData>
    <row r="1" spans="1:14" x14ac:dyDescent="0.4">
      <c r="A1" t="s">
        <v>89</v>
      </c>
      <c r="B1" t="s">
        <v>0</v>
      </c>
      <c r="C1" t="s">
        <v>1</v>
      </c>
      <c r="D1" t="s">
        <v>97</v>
      </c>
      <c r="G1" s="5" t="s">
        <v>89</v>
      </c>
      <c r="H1" s="5" t="s">
        <v>90</v>
      </c>
      <c r="I1" s="4" t="s">
        <v>0</v>
      </c>
      <c r="J1" s="4" t="s">
        <v>13</v>
      </c>
      <c r="K1" s="4" t="s">
        <v>14</v>
      </c>
      <c r="L1" t="s">
        <v>84</v>
      </c>
      <c r="M1" t="s">
        <v>97</v>
      </c>
      <c r="N1" s="5" t="s">
        <v>162</v>
      </c>
    </row>
    <row r="2" spans="1:14" x14ac:dyDescent="0.4">
      <c r="A2" s="23" t="s">
        <v>132</v>
      </c>
      <c r="B2" s="1">
        <v>45139</v>
      </c>
      <c r="C2" t="s">
        <v>2</v>
      </c>
      <c r="D2">
        <v>1000</v>
      </c>
      <c r="G2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" s="6" t="s">
        <v>88</v>
      </c>
      <c r="I2" s="1">
        <f>BancosMesclados[[#This Row],[Data]]</f>
        <v>45139</v>
      </c>
      <c r="J2" t="s">
        <v>91</v>
      </c>
      <c r="K2" t="s">
        <v>93</v>
      </c>
      <c r="L2" t="s">
        <v>94</v>
      </c>
      <c r="M2" s="6">
        <f>BancosMesclados[[#This Row],[Lançamento]]</f>
        <v>1000</v>
      </c>
      <c r="N2" t="str">
        <f>MID(BancosMesclados[[#This Row],[CodCliente]],1,SEARCH("_",BancosMesclados[[#This Row],[CodCliente]])-1)</f>
        <v>Bradesco</v>
      </c>
    </row>
    <row r="3" spans="1:14" x14ac:dyDescent="0.4">
      <c r="A3" s="23" t="s">
        <v>132</v>
      </c>
      <c r="B3" s="1">
        <v>45139</v>
      </c>
      <c r="C3" t="s">
        <v>3</v>
      </c>
      <c r="D3">
        <v>-1000</v>
      </c>
      <c r="G3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3" s="6" t="s">
        <v>88</v>
      </c>
      <c r="I3" s="1">
        <f>BancosMesclados[[#This Row],[Data]]</f>
        <v>45139</v>
      </c>
      <c r="J3" t="s">
        <v>17</v>
      </c>
      <c r="K3" t="s">
        <v>18</v>
      </c>
      <c r="L3" t="s">
        <v>87</v>
      </c>
      <c r="M3" s="6">
        <f>BancosMesclados[[#This Row],[Lançamento]]</f>
        <v>-1000</v>
      </c>
      <c r="N3" t="str">
        <f>MID(BancosMesclados[[#This Row],[CodCliente]],1,SEARCH("_",BancosMesclados[[#This Row],[CodCliente]])-1)</f>
        <v>Bradesco</v>
      </c>
    </row>
    <row r="4" spans="1:14" x14ac:dyDescent="0.4">
      <c r="A4" s="23" t="s">
        <v>132</v>
      </c>
      <c r="B4" s="1">
        <v>45141</v>
      </c>
      <c r="C4" t="s">
        <v>2</v>
      </c>
      <c r="D4">
        <v>399</v>
      </c>
      <c r="G4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4" s="6" t="s">
        <v>88</v>
      </c>
      <c r="I4" s="1">
        <f>BancosMesclados[[#This Row],[Data]]</f>
        <v>45141</v>
      </c>
      <c r="J4" t="s">
        <v>91</v>
      </c>
      <c r="K4" t="s">
        <v>93</v>
      </c>
      <c r="L4" t="s">
        <v>94</v>
      </c>
      <c r="M4" s="6">
        <f>BancosMesclados[[#This Row],[Lançamento]]</f>
        <v>399</v>
      </c>
      <c r="N4" t="str">
        <f>MID(BancosMesclados[[#This Row],[CodCliente]],1,SEARCH("_",BancosMesclados[[#This Row],[CodCliente]])-1)</f>
        <v>Bradesco</v>
      </c>
    </row>
    <row r="5" spans="1:14" x14ac:dyDescent="0.4">
      <c r="A5" s="23" t="s">
        <v>132</v>
      </c>
      <c r="B5" s="1">
        <v>45141</v>
      </c>
      <c r="C5" t="s">
        <v>2</v>
      </c>
      <c r="D5">
        <v>800</v>
      </c>
      <c r="G5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5" s="6" t="s">
        <v>88</v>
      </c>
      <c r="I5" s="1">
        <f>BancosMesclados[[#This Row],[Data]]</f>
        <v>45141</v>
      </c>
      <c r="J5" t="s">
        <v>91</v>
      </c>
      <c r="K5" t="s">
        <v>93</v>
      </c>
      <c r="L5" t="s">
        <v>94</v>
      </c>
      <c r="M5" s="6">
        <f>BancosMesclados[[#This Row],[Lançamento]]</f>
        <v>800</v>
      </c>
      <c r="N5" t="str">
        <f>MID(BancosMesclados[[#This Row],[CodCliente]],1,SEARCH("_",BancosMesclados[[#This Row],[CodCliente]])-1)</f>
        <v>Bradesco</v>
      </c>
    </row>
    <row r="6" spans="1:14" x14ac:dyDescent="0.4">
      <c r="A6" s="23" t="s">
        <v>132</v>
      </c>
      <c r="B6" s="1">
        <v>45141</v>
      </c>
      <c r="C6" t="s">
        <v>3</v>
      </c>
      <c r="D6">
        <v>-1197</v>
      </c>
      <c r="G6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6" s="6" t="s">
        <v>88</v>
      </c>
      <c r="I6" s="1">
        <f>BancosMesclados[[#This Row],[Data]]</f>
        <v>45141</v>
      </c>
      <c r="J6" t="s">
        <v>17</v>
      </c>
      <c r="K6" t="s">
        <v>18</v>
      </c>
      <c r="L6" t="s">
        <v>87</v>
      </c>
      <c r="M6" s="6">
        <f>BancosMesclados[[#This Row],[Lançamento]]</f>
        <v>-1197</v>
      </c>
      <c r="N6" t="str">
        <f>MID(BancosMesclados[[#This Row],[CodCliente]],1,SEARCH("_",BancosMesclados[[#This Row],[CodCliente]])-1)</f>
        <v>Bradesco</v>
      </c>
    </row>
    <row r="7" spans="1:14" x14ac:dyDescent="0.4">
      <c r="A7" s="23" t="s">
        <v>132</v>
      </c>
      <c r="B7" s="1">
        <v>45142</v>
      </c>
      <c r="C7" t="s">
        <v>2</v>
      </c>
      <c r="D7">
        <v>1340</v>
      </c>
      <c r="G7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7" s="6" t="s">
        <v>88</v>
      </c>
      <c r="I7" s="1">
        <f>BancosMesclados[[#This Row],[Data]]</f>
        <v>45142</v>
      </c>
      <c r="J7" t="s">
        <v>91</v>
      </c>
      <c r="K7" t="s">
        <v>93</v>
      </c>
      <c r="L7" t="s">
        <v>94</v>
      </c>
      <c r="M7" s="6">
        <f>BancosMesclados[[#This Row],[Lançamento]]</f>
        <v>1340</v>
      </c>
      <c r="N7" t="str">
        <f>MID(BancosMesclados[[#This Row],[CodCliente]],1,SEARCH("_",BancosMesclados[[#This Row],[CodCliente]])-1)</f>
        <v>Bradesco</v>
      </c>
    </row>
    <row r="8" spans="1:14" x14ac:dyDescent="0.4">
      <c r="A8" s="23" t="s">
        <v>132</v>
      </c>
      <c r="B8" s="1">
        <v>45142</v>
      </c>
      <c r="C8" t="s">
        <v>4</v>
      </c>
      <c r="D8">
        <v>-1340</v>
      </c>
      <c r="G8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8" s="6" t="s">
        <v>88</v>
      </c>
      <c r="I8" s="1">
        <f>BancosMesclados[[#This Row],[Data]]</f>
        <v>45142</v>
      </c>
      <c r="J8" t="s">
        <v>15</v>
      </c>
      <c r="K8" t="s">
        <v>16</v>
      </c>
      <c r="L8" t="s">
        <v>155</v>
      </c>
      <c r="M8" s="6">
        <f>BancosMesclados[[#This Row],[Lançamento]]</f>
        <v>-1340</v>
      </c>
      <c r="N8" t="str">
        <f>MID(BancosMesclados[[#This Row],[CodCliente]],1,SEARCH("_",BancosMesclados[[#This Row],[CodCliente]])-1)</f>
        <v>Bradesco</v>
      </c>
    </row>
    <row r="9" spans="1:14" x14ac:dyDescent="0.4">
      <c r="A9" s="23" t="s">
        <v>132</v>
      </c>
      <c r="B9" s="1">
        <v>45146</v>
      </c>
      <c r="C9" t="s">
        <v>5</v>
      </c>
      <c r="D9">
        <v>-2</v>
      </c>
      <c r="G9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9" s="6" t="s">
        <v>88</v>
      </c>
      <c r="I9" s="1">
        <f>BancosMesclados[[#This Row],[Data]]</f>
        <v>45146</v>
      </c>
      <c r="J9" t="s">
        <v>19</v>
      </c>
      <c r="K9" t="s">
        <v>18</v>
      </c>
      <c r="L9" t="s">
        <v>87</v>
      </c>
      <c r="M9" s="6">
        <f>BancosMesclados[[#This Row],[Lançamento]]</f>
        <v>-2</v>
      </c>
      <c r="N9" t="str">
        <f>MID(BancosMesclados[[#This Row],[CodCliente]],1,SEARCH("_",BancosMesclados[[#This Row],[CodCliente]])-1)</f>
        <v>Bradesco</v>
      </c>
    </row>
    <row r="10" spans="1:14" x14ac:dyDescent="0.4">
      <c r="A10" s="23" t="s">
        <v>132</v>
      </c>
      <c r="B10" s="1">
        <v>45147</v>
      </c>
      <c r="C10" t="s">
        <v>2</v>
      </c>
      <c r="D10">
        <v>43</v>
      </c>
      <c r="G10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0" s="6" t="s">
        <v>88</v>
      </c>
      <c r="I10" s="1">
        <f>BancosMesclados[[#This Row],[Data]]</f>
        <v>45147</v>
      </c>
      <c r="J10" t="s">
        <v>91</v>
      </c>
      <c r="K10" t="s">
        <v>93</v>
      </c>
      <c r="L10" t="s">
        <v>94</v>
      </c>
      <c r="M10" s="6">
        <f>BancosMesclados[[#This Row],[Lançamento]]</f>
        <v>43</v>
      </c>
      <c r="N10" t="str">
        <f>MID(BancosMesclados[[#This Row],[CodCliente]],1,SEARCH("_",BancosMesclados[[#This Row],[CodCliente]])-1)</f>
        <v>Bradesco</v>
      </c>
    </row>
    <row r="11" spans="1:14" x14ac:dyDescent="0.4">
      <c r="A11" s="23" t="s">
        <v>132</v>
      </c>
      <c r="B11" s="1">
        <v>45147</v>
      </c>
      <c r="C11" t="s">
        <v>6</v>
      </c>
      <c r="D11">
        <v>-38</v>
      </c>
      <c r="G11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1" s="6" t="s">
        <v>88</v>
      </c>
      <c r="I11" s="1">
        <f>BancosMesclados[[#This Row],[Data]]</f>
        <v>45147</v>
      </c>
      <c r="J11" t="s">
        <v>22</v>
      </c>
      <c r="K11" t="s">
        <v>18</v>
      </c>
      <c r="L11" t="s">
        <v>87</v>
      </c>
      <c r="M11" s="6">
        <f>BancosMesclados[[#This Row],[Lançamento]]</f>
        <v>-38</v>
      </c>
      <c r="N11" t="str">
        <f>MID(BancosMesclados[[#This Row],[CodCliente]],1,SEARCH("_",BancosMesclados[[#This Row],[CodCliente]])-1)</f>
        <v>Bradesco</v>
      </c>
    </row>
    <row r="12" spans="1:14" x14ac:dyDescent="0.4">
      <c r="A12" s="23" t="s">
        <v>132</v>
      </c>
      <c r="B12" s="1">
        <v>45147</v>
      </c>
      <c r="C12" t="s">
        <v>5</v>
      </c>
      <c r="D12">
        <v>-2</v>
      </c>
      <c r="G12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2" s="6" t="s">
        <v>88</v>
      </c>
      <c r="I12" s="1">
        <f>BancosMesclados[[#This Row],[Data]]</f>
        <v>45147</v>
      </c>
      <c r="J12" t="s">
        <v>19</v>
      </c>
      <c r="K12" t="s">
        <v>18</v>
      </c>
      <c r="L12" t="s">
        <v>87</v>
      </c>
      <c r="M12" s="6">
        <f>BancosMesclados[[#This Row],[Lançamento]]</f>
        <v>-2</v>
      </c>
      <c r="N12" t="str">
        <f>MID(BancosMesclados[[#This Row],[CodCliente]],1,SEARCH("_",BancosMesclados[[#This Row],[CodCliente]])-1)</f>
        <v>Bradesco</v>
      </c>
    </row>
    <row r="13" spans="1:14" x14ac:dyDescent="0.4">
      <c r="A13" s="23" t="s">
        <v>132</v>
      </c>
      <c r="B13" s="1">
        <v>45148</v>
      </c>
      <c r="C13" t="s">
        <v>7</v>
      </c>
      <c r="D13">
        <v>-3</v>
      </c>
      <c r="G13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3" s="6" t="s">
        <v>88</v>
      </c>
      <c r="I13" s="1">
        <f>BancosMesclados[[#This Row],[Data]]</f>
        <v>45148</v>
      </c>
      <c r="J13" t="s">
        <v>21</v>
      </c>
      <c r="K13" t="s">
        <v>18</v>
      </c>
      <c r="L13" t="s">
        <v>87</v>
      </c>
      <c r="M13" s="6">
        <f>BancosMesclados[[#This Row],[Lançamento]]</f>
        <v>-3</v>
      </c>
      <c r="N13" t="str">
        <f>MID(BancosMesclados[[#This Row],[CodCliente]],1,SEARCH("_",BancosMesclados[[#This Row],[CodCliente]])-1)</f>
        <v>Bradesco</v>
      </c>
    </row>
    <row r="14" spans="1:14" x14ac:dyDescent="0.4">
      <c r="A14" s="23" t="s">
        <v>132</v>
      </c>
      <c r="B14" s="1">
        <v>45152</v>
      </c>
      <c r="C14" t="s">
        <v>8</v>
      </c>
      <c r="D14">
        <v>460</v>
      </c>
      <c r="G14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4" s="6" t="s">
        <v>88</v>
      </c>
      <c r="I14" s="1">
        <f>BancosMesclados[[#This Row],[Data]]</f>
        <v>45152</v>
      </c>
      <c r="J14" t="s">
        <v>91</v>
      </c>
      <c r="K14" t="s">
        <v>93</v>
      </c>
      <c r="L14" t="s">
        <v>94</v>
      </c>
      <c r="M14" s="6">
        <f>BancosMesclados[[#This Row],[Lançamento]]</f>
        <v>460</v>
      </c>
      <c r="N14" t="str">
        <f>MID(BancosMesclados[[#This Row],[CodCliente]],1,SEARCH("_",BancosMesclados[[#This Row],[CodCliente]])-1)</f>
        <v>Bradesco</v>
      </c>
    </row>
    <row r="15" spans="1:14" x14ac:dyDescent="0.4">
      <c r="A15" s="23" t="s">
        <v>132</v>
      </c>
      <c r="B15" s="1">
        <v>45152</v>
      </c>
      <c r="C15" t="s">
        <v>8</v>
      </c>
      <c r="D15">
        <v>20</v>
      </c>
      <c r="G15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5" s="6" t="s">
        <v>88</v>
      </c>
      <c r="I15" s="1">
        <f>BancosMesclados[[#This Row],[Data]]</f>
        <v>45152</v>
      </c>
      <c r="J15" t="s">
        <v>91</v>
      </c>
      <c r="K15" t="s">
        <v>93</v>
      </c>
      <c r="L15" t="s">
        <v>94</v>
      </c>
      <c r="M15" s="6">
        <f>BancosMesclados[[#This Row],[Lançamento]]</f>
        <v>20</v>
      </c>
      <c r="N15" t="str">
        <f>MID(BancosMesclados[[#This Row],[CodCliente]],1,SEARCH("_",BancosMesclados[[#This Row],[CodCliente]])-1)</f>
        <v>Bradesco</v>
      </c>
    </row>
    <row r="16" spans="1:14" x14ac:dyDescent="0.4">
      <c r="A16" s="23" t="s">
        <v>132</v>
      </c>
      <c r="B16" s="1">
        <v>45152</v>
      </c>
      <c r="C16" t="s">
        <v>8</v>
      </c>
      <c r="D16">
        <v>150</v>
      </c>
      <c r="G16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6" s="6" t="s">
        <v>88</v>
      </c>
      <c r="I16" s="1">
        <f>BancosMesclados[[#This Row],[Data]]</f>
        <v>45152</v>
      </c>
      <c r="J16" t="s">
        <v>91</v>
      </c>
      <c r="K16" t="s">
        <v>93</v>
      </c>
      <c r="L16" t="s">
        <v>94</v>
      </c>
      <c r="M16" s="6">
        <f>BancosMesclados[[#This Row],[Lançamento]]</f>
        <v>150</v>
      </c>
      <c r="N16" t="str">
        <f>MID(BancosMesclados[[#This Row],[CodCliente]],1,SEARCH("_",BancosMesclados[[#This Row],[CodCliente]])-1)</f>
        <v>Bradesco</v>
      </c>
    </row>
    <row r="17" spans="1:17" x14ac:dyDescent="0.4">
      <c r="A17" s="23" t="s">
        <v>132</v>
      </c>
      <c r="B17" s="1">
        <v>45152</v>
      </c>
      <c r="C17" t="s">
        <v>8</v>
      </c>
      <c r="D17">
        <v>60</v>
      </c>
      <c r="G17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7" s="6" t="s">
        <v>88</v>
      </c>
      <c r="I17" s="1">
        <f>BancosMesclados[[#This Row],[Data]]</f>
        <v>45152</v>
      </c>
      <c r="J17" t="s">
        <v>91</v>
      </c>
      <c r="K17" t="s">
        <v>93</v>
      </c>
      <c r="L17" t="s">
        <v>94</v>
      </c>
      <c r="M17" s="6">
        <f>BancosMesclados[[#This Row],[Lançamento]]</f>
        <v>60</v>
      </c>
      <c r="N17" t="str">
        <f>MID(BancosMesclados[[#This Row],[CodCliente]],1,SEARCH("_",BancosMesclados[[#This Row],[CodCliente]])-1)</f>
        <v>Bradesco</v>
      </c>
    </row>
    <row r="18" spans="1:17" x14ac:dyDescent="0.4">
      <c r="A18" s="23" t="s">
        <v>132</v>
      </c>
      <c r="B18" s="1">
        <v>45152</v>
      </c>
      <c r="C18" t="s">
        <v>2</v>
      </c>
      <c r="D18">
        <v>1228</v>
      </c>
      <c r="G18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8" s="6" t="s">
        <v>88</v>
      </c>
      <c r="I18" s="1">
        <f>BancosMesclados[[#This Row],[Data]]</f>
        <v>45152</v>
      </c>
      <c r="J18" t="s">
        <v>91</v>
      </c>
      <c r="K18" t="s">
        <v>93</v>
      </c>
      <c r="L18" t="s">
        <v>94</v>
      </c>
      <c r="M18" s="6">
        <f>BancosMesclados[[#This Row],[Lançamento]]</f>
        <v>1228</v>
      </c>
      <c r="N18" t="str">
        <f>MID(BancosMesclados[[#This Row],[CodCliente]],1,SEARCH("_",BancosMesclados[[#This Row],[CodCliente]])-1)</f>
        <v>Bradesco</v>
      </c>
    </row>
    <row r="19" spans="1:17" x14ac:dyDescent="0.4">
      <c r="A19" s="23" t="s">
        <v>132</v>
      </c>
      <c r="B19" s="1">
        <v>45153</v>
      </c>
      <c r="C19" t="s">
        <v>9</v>
      </c>
      <c r="D19">
        <v>1100</v>
      </c>
      <c r="G19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19" s="6" t="s">
        <v>88</v>
      </c>
      <c r="I19" s="1">
        <f>BancosMesclados[[#This Row],[Data]]</f>
        <v>45153</v>
      </c>
      <c r="J19" t="s">
        <v>92</v>
      </c>
      <c r="K19" t="s">
        <v>93</v>
      </c>
      <c r="L19" t="s">
        <v>95</v>
      </c>
      <c r="M19" s="6">
        <f>BancosMesclados[[#This Row],[Lançamento]]</f>
        <v>1100</v>
      </c>
      <c r="N19" t="str">
        <f>MID(BancosMesclados[[#This Row],[CodCliente]],1,SEARCH("_",BancosMesclados[[#This Row],[CodCliente]])-1)</f>
        <v>Bradesco</v>
      </c>
    </row>
    <row r="20" spans="1:17" x14ac:dyDescent="0.4">
      <c r="A20" s="23" t="s">
        <v>132</v>
      </c>
      <c r="B20" s="1">
        <v>45153</v>
      </c>
      <c r="C20" t="s">
        <v>6</v>
      </c>
      <c r="D20">
        <v>-2137</v>
      </c>
      <c r="G20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0" s="6" t="s">
        <v>88</v>
      </c>
      <c r="I20" s="1">
        <f>BancosMesclados[[#This Row],[Data]]</f>
        <v>45153</v>
      </c>
      <c r="J20" t="s">
        <v>22</v>
      </c>
      <c r="K20" t="s">
        <v>18</v>
      </c>
      <c r="L20" t="s">
        <v>87</v>
      </c>
      <c r="M20" s="6">
        <f>BancosMesclados[[#This Row],[Lançamento]]</f>
        <v>-2137</v>
      </c>
      <c r="N20" t="str">
        <f>MID(BancosMesclados[[#This Row],[CodCliente]],1,SEARCH("_",BancosMesclados[[#This Row],[CodCliente]])-1)</f>
        <v>Bradesco</v>
      </c>
    </row>
    <row r="21" spans="1:17" x14ac:dyDescent="0.4">
      <c r="A21" s="23" t="s">
        <v>132</v>
      </c>
      <c r="B21" s="1">
        <v>45153</v>
      </c>
      <c r="C21" t="s">
        <v>6</v>
      </c>
      <c r="D21">
        <v>-458</v>
      </c>
      <c r="G21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1" s="6" t="s">
        <v>88</v>
      </c>
      <c r="I21" s="1">
        <f>BancosMesclados[[#This Row],[Data]]</f>
        <v>45153</v>
      </c>
      <c r="J21" t="s">
        <v>22</v>
      </c>
      <c r="K21" t="s">
        <v>18</v>
      </c>
      <c r="L21" t="s">
        <v>87</v>
      </c>
      <c r="M21" s="6">
        <f>BancosMesclados[[#This Row],[Lançamento]]</f>
        <v>-458</v>
      </c>
      <c r="N21" t="str">
        <f>MID(BancosMesclados[[#This Row],[CodCliente]],1,SEARCH("_",BancosMesclados[[#This Row],[CodCliente]])-1)</f>
        <v>Bradesco</v>
      </c>
    </row>
    <row r="22" spans="1:17" x14ac:dyDescent="0.4">
      <c r="A22" s="23" t="s">
        <v>132</v>
      </c>
      <c r="B22" s="1">
        <v>45155</v>
      </c>
      <c r="C22" t="s">
        <v>10</v>
      </c>
      <c r="D22">
        <v>3770</v>
      </c>
      <c r="G22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2" s="6" t="s">
        <v>88</v>
      </c>
      <c r="I22" s="1">
        <f>BancosMesclados[[#This Row],[Data]]</f>
        <v>45155</v>
      </c>
      <c r="J22" t="s">
        <v>92</v>
      </c>
      <c r="K22" t="s">
        <v>93</v>
      </c>
      <c r="L22" t="s">
        <v>95</v>
      </c>
      <c r="M22" s="6">
        <f>BancosMesclados[[#This Row],[Lançamento]]</f>
        <v>3770</v>
      </c>
      <c r="N22" t="str">
        <f>MID(BancosMesclados[[#This Row],[CodCliente]],1,SEARCH("_",BancosMesclados[[#This Row],[CodCliente]])-1)</f>
        <v>Bradesco</v>
      </c>
    </row>
    <row r="23" spans="1:17" x14ac:dyDescent="0.4">
      <c r="A23" s="23" t="s">
        <v>132</v>
      </c>
      <c r="B23" s="1">
        <v>45160</v>
      </c>
      <c r="C23" t="s">
        <v>2</v>
      </c>
      <c r="D23">
        <v>340</v>
      </c>
      <c r="G23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3" s="6" t="s">
        <v>88</v>
      </c>
      <c r="I23" s="1">
        <f>BancosMesclados[[#This Row],[Data]]</f>
        <v>45160</v>
      </c>
      <c r="J23" t="s">
        <v>91</v>
      </c>
      <c r="K23" t="s">
        <v>93</v>
      </c>
      <c r="L23" t="s">
        <v>94</v>
      </c>
      <c r="M23" s="6">
        <f>BancosMesclados[[#This Row],[Lançamento]]</f>
        <v>340</v>
      </c>
      <c r="N23" t="str">
        <f>MID(BancosMesclados[[#This Row],[CodCliente]],1,SEARCH("_",BancosMesclados[[#This Row],[CodCliente]])-1)</f>
        <v>Bradesco</v>
      </c>
    </row>
    <row r="24" spans="1:17" x14ac:dyDescent="0.4">
      <c r="A24" s="23" t="s">
        <v>132</v>
      </c>
      <c r="B24" s="1">
        <v>45160</v>
      </c>
      <c r="C24" t="s">
        <v>11</v>
      </c>
      <c r="D24">
        <v>-2265</v>
      </c>
      <c r="G24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4" s="6" t="s">
        <v>88</v>
      </c>
      <c r="I24" s="1">
        <f>BancosMesclados[[#This Row],[Data]]</f>
        <v>45160</v>
      </c>
      <c r="J24" t="s">
        <v>17</v>
      </c>
      <c r="K24" t="s">
        <v>18</v>
      </c>
      <c r="L24" t="s">
        <v>87</v>
      </c>
      <c r="M24" s="6">
        <f>BancosMesclados[[#This Row],[Lançamento]]</f>
        <v>-2265</v>
      </c>
      <c r="N24" t="str">
        <f>MID(BancosMesclados[[#This Row],[CodCliente]],1,SEARCH("_",BancosMesclados[[#This Row],[CodCliente]])-1)</f>
        <v>Bradesco</v>
      </c>
    </row>
    <row r="25" spans="1:17" x14ac:dyDescent="0.4">
      <c r="A25" s="23" t="s">
        <v>132</v>
      </c>
      <c r="B25" s="1">
        <v>45161</v>
      </c>
      <c r="C25" t="s">
        <v>2</v>
      </c>
      <c r="D25">
        <v>1000</v>
      </c>
      <c r="G25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5" s="6" t="s">
        <v>88</v>
      </c>
      <c r="I25" s="1">
        <f>BancosMesclados[[#This Row],[Data]]</f>
        <v>45161</v>
      </c>
      <c r="J25" t="s">
        <v>91</v>
      </c>
      <c r="K25" t="s">
        <v>93</v>
      </c>
      <c r="L25" t="s">
        <v>94</v>
      </c>
      <c r="M25" s="6">
        <f>BancosMesclados[[#This Row],[Lançamento]]</f>
        <v>1000</v>
      </c>
      <c r="N25" t="str">
        <f>MID(BancosMesclados[[#This Row],[CodCliente]],1,SEARCH("_",BancosMesclados[[#This Row],[CodCliente]])-1)</f>
        <v>Bradesco</v>
      </c>
    </row>
    <row r="26" spans="1:17" x14ac:dyDescent="0.4">
      <c r="A26" s="23" t="s">
        <v>132</v>
      </c>
      <c r="B26" s="1">
        <v>45161</v>
      </c>
      <c r="C26" t="s">
        <v>6</v>
      </c>
      <c r="D26">
        <v>-3261</v>
      </c>
      <c r="G26" s="6" t="str">
        <f>MID(BancosMesclados[[#This Row],[CodCliente]],SEARCH("_",BancosMesclados[[#This Row],[CodCliente]])+1,SEARCH(".",BancosMesclados[[#This Row],[CodCliente]])-SEARCH("_",BancosMesclados[[#This Row],[CodCliente]])-1)</f>
        <v>PF001</v>
      </c>
      <c r="H26" s="6" t="s">
        <v>88</v>
      </c>
      <c r="I26" s="1">
        <f>BancosMesclados[[#This Row],[Data]]</f>
        <v>45161</v>
      </c>
      <c r="J26" t="s">
        <v>22</v>
      </c>
      <c r="K26" t="s">
        <v>18</v>
      </c>
      <c r="L26" t="s">
        <v>87</v>
      </c>
      <c r="M26" s="6">
        <f>BancosMesclados[[#This Row],[Lançamento]]</f>
        <v>-3261</v>
      </c>
      <c r="N26" t="str">
        <f>MID(BancosMesclados[[#This Row],[CodCliente]],1,SEARCH("_",BancosMesclados[[#This Row],[CodCliente]])-1)</f>
        <v>Bradesco</v>
      </c>
    </row>
    <row r="27" spans="1:17" x14ac:dyDescent="0.4">
      <c r="A27" s="23" t="s">
        <v>163</v>
      </c>
      <c r="B27" s="1">
        <v>45293</v>
      </c>
      <c r="C27" t="s">
        <v>164</v>
      </c>
      <c r="D27">
        <v>72</v>
      </c>
      <c r="E27" s="2"/>
      <c r="F27" s="2"/>
      <c r="G27" s="20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27" s="2" t="s">
        <v>159</v>
      </c>
      <c r="I27" s="21">
        <f>BancosMesclados[[#This Row],[Data]]</f>
        <v>45293</v>
      </c>
      <c r="J27" t="s">
        <v>91</v>
      </c>
      <c r="K27" t="s">
        <v>93</v>
      </c>
      <c r="L27" s="6" t="s">
        <v>94</v>
      </c>
      <c r="M27" s="6">
        <f>BancosMesclados[[#This Row],[Lançamento]]</f>
        <v>72</v>
      </c>
      <c r="N27" t="str">
        <f>MID(BancosMesclados[[#This Row],[CodCliente]],1,SEARCH("_",BancosMesclados[[#This Row],[CodCliente]])-1)</f>
        <v>Bradesco</v>
      </c>
      <c r="O27" s="6"/>
      <c r="P27" s="6"/>
      <c r="Q27" s="6"/>
    </row>
    <row r="28" spans="1:17" x14ac:dyDescent="0.4">
      <c r="A28" s="23" t="s">
        <v>163</v>
      </c>
      <c r="B28" s="1">
        <v>45293</v>
      </c>
      <c r="C28" t="s">
        <v>165</v>
      </c>
      <c r="D28">
        <v>169</v>
      </c>
      <c r="G28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28" s="6" t="s">
        <v>159</v>
      </c>
      <c r="I28" s="1">
        <f>BancosMesclados[[#This Row],[Data]]</f>
        <v>45293</v>
      </c>
      <c r="J28" t="s">
        <v>17</v>
      </c>
      <c r="K28" t="s">
        <v>18</v>
      </c>
      <c r="L28" s="6" t="s">
        <v>87</v>
      </c>
      <c r="M28" s="6">
        <f>BancosMesclados[[#This Row],[Lançamento]]</f>
        <v>169</v>
      </c>
      <c r="N28" t="str">
        <f>MID(BancosMesclados[[#This Row],[CodCliente]],1,SEARCH("_",BancosMesclados[[#This Row],[CodCliente]])-1)</f>
        <v>Bradesco</v>
      </c>
      <c r="O28" s="6"/>
      <c r="P28" s="6"/>
      <c r="Q28" s="6"/>
    </row>
    <row r="29" spans="1:17" x14ac:dyDescent="0.4">
      <c r="A29" s="23" t="s">
        <v>163</v>
      </c>
      <c r="B29" s="1">
        <v>45293</v>
      </c>
      <c r="C29" t="s">
        <v>165</v>
      </c>
      <c r="D29">
        <v>480</v>
      </c>
      <c r="G29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29" s="6" t="s">
        <v>159</v>
      </c>
      <c r="I29" s="1">
        <f>BancosMesclados[[#This Row],[Data]]</f>
        <v>45293</v>
      </c>
      <c r="J29" t="s">
        <v>17</v>
      </c>
      <c r="K29" t="s">
        <v>18</v>
      </c>
      <c r="L29" s="6" t="s">
        <v>87</v>
      </c>
      <c r="M29" s="6">
        <f>BancosMesclados[[#This Row],[Lançamento]]</f>
        <v>480</v>
      </c>
      <c r="N29" t="str">
        <f>MID(BancosMesclados[[#This Row],[CodCliente]],1,SEARCH("_",BancosMesclados[[#This Row],[CodCliente]])-1)</f>
        <v>Bradesco</v>
      </c>
      <c r="O29" s="6"/>
      <c r="P29" s="6"/>
      <c r="Q29" s="6"/>
    </row>
    <row r="30" spans="1:17" x14ac:dyDescent="0.4">
      <c r="A30" s="23" t="s">
        <v>163</v>
      </c>
      <c r="B30" s="1">
        <v>45293</v>
      </c>
      <c r="C30" t="s">
        <v>165</v>
      </c>
      <c r="D30">
        <v>948</v>
      </c>
      <c r="G30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0" s="6" t="s">
        <v>159</v>
      </c>
      <c r="I30" s="1">
        <f>BancosMesclados[[#This Row],[Data]]</f>
        <v>45293</v>
      </c>
      <c r="J30" t="s">
        <v>17</v>
      </c>
      <c r="K30" t="s">
        <v>18</v>
      </c>
      <c r="L30" s="6" t="s">
        <v>87</v>
      </c>
      <c r="M30" s="6">
        <f>BancosMesclados[[#This Row],[Lançamento]]</f>
        <v>948</v>
      </c>
      <c r="N30" t="str">
        <f>MID(BancosMesclados[[#This Row],[CodCliente]],1,SEARCH("_",BancosMesclados[[#This Row],[CodCliente]])-1)</f>
        <v>Bradesco</v>
      </c>
      <c r="O30" s="6"/>
      <c r="P30" s="6"/>
      <c r="Q30" s="6"/>
    </row>
    <row r="31" spans="1:17" x14ac:dyDescent="0.4">
      <c r="A31" s="23" t="s">
        <v>163</v>
      </c>
      <c r="B31" s="1">
        <v>45293</v>
      </c>
      <c r="C31" t="s">
        <v>165</v>
      </c>
      <c r="D31">
        <v>888</v>
      </c>
      <c r="G31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1" s="6" t="s">
        <v>159</v>
      </c>
      <c r="I31" s="1">
        <f>BancosMesclados[[#This Row],[Data]]</f>
        <v>45293</v>
      </c>
      <c r="J31" t="s">
        <v>17</v>
      </c>
      <c r="K31" t="s">
        <v>18</v>
      </c>
      <c r="L31" s="6" t="s">
        <v>87</v>
      </c>
      <c r="M31" s="6">
        <f>BancosMesclados[[#This Row],[Lançamento]]</f>
        <v>888</v>
      </c>
      <c r="N31" t="str">
        <f>MID(BancosMesclados[[#This Row],[CodCliente]],1,SEARCH("_",BancosMesclados[[#This Row],[CodCliente]])-1)</f>
        <v>Bradesco</v>
      </c>
      <c r="O31" s="6"/>
      <c r="P31" s="6"/>
      <c r="Q31" s="6"/>
    </row>
    <row r="32" spans="1:17" x14ac:dyDescent="0.4">
      <c r="A32" s="23" t="s">
        <v>163</v>
      </c>
      <c r="B32" s="1">
        <v>45293</v>
      </c>
      <c r="C32" t="s">
        <v>165</v>
      </c>
      <c r="D32">
        <v>860</v>
      </c>
      <c r="G32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2" s="6" t="s">
        <v>159</v>
      </c>
      <c r="I32" s="1">
        <f>BancosMesclados[[#This Row],[Data]]</f>
        <v>45293</v>
      </c>
      <c r="J32" t="s">
        <v>17</v>
      </c>
      <c r="K32" t="s">
        <v>18</v>
      </c>
      <c r="L32" s="6" t="s">
        <v>87</v>
      </c>
      <c r="M32" s="6">
        <f>BancosMesclados[[#This Row],[Lançamento]]</f>
        <v>860</v>
      </c>
      <c r="N32" t="str">
        <f>MID(BancosMesclados[[#This Row],[CodCliente]],1,SEARCH("_",BancosMesclados[[#This Row],[CodCliente]])-1)</f>
        <v>Bradesco</v>
      </c>
      <c r="O32" s="6"/>
      <c r="P32" s="6"/>
      <c r="Q32" s="6"/>
    </row>
    <row r="33" spans="1:17" x14ac:dyDescent="0.4">
      <c r="A33" s="23" t="s">
        <v>163</v>
      </c>
      <c r="B33" s="1">
        <v>45293</v>
      </c>
      <c r="C33" t="s">
        <v>165</v>
      </c>
      <c r="D33">
        <v>336</v>
      </c>
      <c r="G33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3" s="6" t="s">
        <v>159</v>
      </c>
      <c r="I33" s="1">
        <f>BancosMesclados[[#This Row],[Data]]</f>
        <v>45293</v>
      </c>
      <c r="J33" t="s">
        <v>17</v>
      </c>
      <c r="K33" t="s">
        <v>18</v>
      </c>
      <c r="L33" s="6" t="s">
        <v>87</v>
      </c>
      <c r="M33" s="6">
        <f>BancosMesclados[[#This Row],[Lançamento]]</f>
        <v>336</v>
      </c>
      <c r="N33" t="str">
        <f>MID(BancosMesclados[[#This Row],[CodCliente]],1,SEARCH("_",BancosMesclados[[#This Row],[CodCliente]])-1)</f>
        <v>Bradesco</v>
      </c>
      <c r="O33" s="6"/>
      <c r="P33" s="6"/>
      <c r="Q33" s="6"/>
    </row>
    <row r="34" spans="1:17" x14ac:dyDescent="0.4">
      <c r="A34" s="23" t="s">
        <v>163</v>
      </c>
      <c r="B34" s="1">
        <v>45293</v>
      </c>
      <c r="C34" t="s">
        <v>165</v>
      </c>
      <c r="D34">
        <v>772</v>
      </c>
      <c r="G34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4" s="6" t="s">
        <v>159</v>
      </c>
      <c r="I34" s="1">
        <f>BancosMesclados[[#This Row],[Data]]</f>
        <v>45293</v>
      </c>
      <c r="J34" t="s">
        <v>17</v>
      </c>
      <c r="K34" t="s">
        <v>18</v>
      </c>
      <c r="L34" s="6" t="s">
        <v>87</v>
      </c>
      <c r="M34" s="6">
        <f>BancosMesclados[[#This Row],[Lançamento]]</f>
        <v>772</v>
      </c>
      <c r="N34" t="str">
        <f>MID(BancosMesclados[[#This Row],[CodCliente]],1,SEARCH("_",BancosMesclados[[#This Row],[CodCliente]])-1)</f>
        <v>Bradesco</v>
      </c>
      <c r="O34" s="6"/>
      <c r="P34" s="6"/>
      <c r="Q34" s="6"/>
    </row>
    <row r="35" spans="1:17" x14ac:dyDescent="0.4">
      <c r="A35" s="23" t="s">
        <v>163</v>
      </c>
      <c r="B35" s="1">
        <v>45293</v>
      </c>
      <c r="C35" t="s">
        <v>165</v>
      </c>
      <c r="D35">
        <v>671</v>
      </c>
      <c r="G35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5" s="6" t="s">
        <v>159</v>
      </c>
      <c r="I35" s="1">
        <f>BancosMesclados[[#This Row],[Data]]</f>
        <v>45293</v>
      </c>
      <c r="J35" t="s">
        <v>17</v>
      </c>
      <c r="K35" t="s">
        <v>18</v>
      </c>
      <c r="L35" s="6" t="s">
        <v>87</v>
      </c>
      <c r="M35" s="6">
        <f>BancosMesclados[[#This Row],[Lançamento]]</f>
        <v>671</v>
      </c>
      <c r="N35" t="str">
        <f>MID(BancosMesclados[[#This Row],[CodCliente]],1,SEARCH("_",BancosMesclados[[#This Row],[CodCliente]])-1)</f>
        <v>Bradesco</v>
      </c>
      <c r="O35" s="6"/>
      <c r="P35" s="6"/>
      <c r="Q35" s="6"/>
    </row>
    <row r="36" spans="1:17" x14ac:dyDescent="0.4">
      <c r="A36" s="23" t="s">
        <v>163</v>
      </c>
      <c r="B36" s="1">
        <v>45293</v>
      </c>
      <c r="C36" t="s">
        <v>165</v>
      </c>
      <c r="D36">
        <v>777</v>
      </c>
      <c r="G36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6" s="6" t="s">
        <v>159</v>
      </c>
      <c r="I36" s="1">
        <f>BancosMesclados[[#This Row],[Data]]</f>
        <v>45293</v>
      </c>
      <c r="J36" t="s">
        <v>17</v>
      </c>
      <c r="K36" t="s">
        <v>18</v>
      </c>
      <c r="L36" s="6" t="s">
        <v>87</v>
      </c>
      <c r="M36" s="6">
        <f>BancosMesclados[[#This Row],[Lançamento]]</f>
        <v>777</v>
      </c>
      <c r="N36" t="str">
        <f>MID(BancosMesclados[[#This Row],[CodCliente]],1,SEARCH("_",BancosMesclados[[#This Row],[CodCliente]])-1)</f>
        <v>Bradesco</v>
      </c>
      <c r="O36" s="6"/>
      <c r="P36" s="6"/>
      <c r="Q36" s="6"/>
    </row>
    <row r="37" spans="1:17" x14ac:dyDescent="0.4">
      <c r="A37" s="23" t="s">
        <v>163</v>
      </c>
      <c r="B37" s="1">
        <v>45293</v>
      </c>
      <c r="C37" t="s">
        <v>165</v>
      </c>
      <c r="D37">
        <v>207</v>
      </c>
      <c r="G37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7" s="6" t="s">
        <v>159</v>
      </c>
      <c r="I37" s="1">
        <f>BancosMesclados[[#This Row],[Data]]</f>
        <v>45293</v>
      </c>
      <c r="J37" t="s">
        <v>17</v>
      </c>
      <c r="K37" t="s">
        <v>18</v>
      </c>
      <c r="L37" s="6" t="s">
        <v>87</v>
      </c>
      <c r="M37" s="6">
        <f>BancosMesclados[[#This Row],[Lançamento]]</f>
        <v>207</v>
      </c>
      <c r="N37" t="str">
        <f>MID(BancosMesclados[[#This Row],[CodCliente]],1,SEARCH("_",BancosMesclados[[#This Row],[CodCliente]])-1)</f>
        <v>Bradesco</v>
      </c>
      <c r="O37" s="6"/>
      <c r="P37" s="6"/>
      <c r="Q37" s="6"/>
    </row>
    <row r="38" spans="1:17" x14ac:dyDescent="0.4">
      <c r="A38" s="23" t="s">
        <v>163</v>
      </c>
      <c r="B38" s="1">
        <v>45293</v>
      </c>
      <c r="C38" t="s">
        <v>165</v>
      </c>
      <c r="D38">
        <v>352</v>
      </c>
      <c r="G38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8" s="6" t="s">
        <v>159</v>
      </c>
      <c r="I38" s="1">
        <f>BancosMesclados[[#This Row],[Data]]</f>
        <v>45293</v>
      </c>
      <c r="J38" t="s">
        <v>17</v>
      </c>
      <c r="K38" t="s">
        <v>18</v>
      </c>
      <c r="L38" s="6" t="s">
        <v>87</v>
      </c>
      <c r="M38" s="6">
        <f>BancosMesclados[[#This Row],[Lançamento]]</f>
        <v>352</v>
      </c>
      <c r="N38" t="str">
        <f>MID(BancosMesclados[[#This Row],[CodCliente]],1,SEARCH("_",BancosMesclados[[#This Row],[CodCliente]])-1)</f>
        <v>Bradesco</v>
      </c>
      <c r="O38" s="6"/>
      <c r="P38" s="6"/>
      <c r="Q38" s="6"/>
    </row>
    <row r="39" spans="1:17" x14ac:dyDescent="0.4">
      <c r="A39" s="23" t="s">
        <v>163</v>
      </c>
      <c r="B39" s="1">
        <v>45293</v>
      </c>
      <c r="C39" t="s">
        <v>165</v>
      </c>
      <c r="D39">
        <v>118</v>
      </c>
      <c r="G39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39" s="6" t="s">
        <v>159</v>
      </c>
      <c r="I39" s="1">
        <f>BancosMesclados[[#This Row],[Data]]</f>
        <v>45293</v>
      </c>
      <c r="J39" t="s">
        <v>17</v>
      </c>
      <c r="K39" t="s">
        <v>18</v>
      </c>
      <c r="L39" s="6" t="s">
        <v>87</v>
      </c>
      <c r="M39" s="6">
        <f>BancosMesclados[[#This Row],[Lançamento]]</f>
        <v>118</v>
      </c>
      <c r="N39" t="str">
        <f>MID(BancosMesclados[[#This Row],[CodCliente]],1,SEARCH("_",BancosMesclados[[#This Row],[CodCliente]])-1)</f>
        <v>Bradesco</v>
      </c>
      <c r="O39" s="6"/>
      <c r="P39" s="6"/>
      <c r="Q39" s="6"/>
    </row>
    <row r="40" spans="1:17" x14ac:dyDescent="0.4">
      <c r="A40" s="23" t="s">
        <v>163</v>
      </c>
      <c r="B40" s="1">
        <v>45293</v>
      </c>
      <c r="C40" t="s">
        <v>165</v>
      </c>
      <c r="D40">
        <v>39</v>
      </c>
      <c r="G40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0" s="6" t="s">
        <v>159</v>
      </c>
      <c r="I40" s="1">
        <f>BancosMesclados[[#This Row],[Data]]</f>
        <v>45293</v>
      </c>
      <c r="J40" t="s">
        <v>17</v>
      </c>
      <c r="K40" t="s">
        <v>18</v>
      </c>
      <c r="L40" s="6" t="s">
        <v>87</v>
      </c>
      <c r="M40" s="6">
        <f>BancosMesclados[[#This Row],[Lançamento]]</f>
        <v>39</v>
      </c>
      <c r="N40" t="str">
        <f>MID(BancosMesclados[[#This Row],[CodCliente]],1,SEARCH("_",BancosMesclados[[#This Row],[CodCliente]])-1)</f>
        <v>Bradesco</v>
      </c>
      <c r="O40" s="6"/>
      <c r="P40" s="6"/>
      <c r="Q40" s="6"/>
    </row>
    <row r="41" spans="1:17" x14ac:dyDescent="0.4">
      <c r="A41" s="23" t="s">
        <v>163</v>
      </c>
      <c r="B41" s="1">
        <v>45293</v>
      </c>
      <c r="C41" t="s">
        <v>166</v>
      </c>
      <c r="D41">
        <v>-21</v>
      </c>
      <c r="G41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1" s="6" t="s">
        <v>159</v>
      </c>
      <c r="I41" s="1">
        <f>BancosMesclados[[#This Row],[Data]]</f>
        <v>45293</v>
      </c>
      <c r="J41" t="s">
        <v>21</v>
      </c>
      <c r="K41" t="s">
        <v>18</v>
      </c>
      <c r="L41" s="6" t="s">
        <v>87</v>
      </c>
      <c r="M41" s="6">
        <f>BancosMesclados[[#This Row],[Lançamento]]</f>
        <v>-21</v>
      </c>
      <c r="N41" t="str">
        <f>MID(BancosMesclados[[#This Row],[CodCliente]],1,SEARCH("_",BancosMesclados[[#This Row],[CodCliente]])-1)</f>
        <v>Bradesco</v>
      </c>
      <c r="O41" s="6"/>
      <c r="P41" s="6"/>
      <c r="Q41" s="6"/>
    </row>
    <row r="42" spans="1:17" x14ac:dyDescent="0.4">
      <c r="A42" s="23" t="s">
        <v>163</v>
      </c>
      <c r="B42" s="1">
        <v>45293</v>
      </c>
      <c r="C42" t="s">
        <v>166</v>
      </c>
      <c r="D42">
        <v>-34</v>
      </c>
      <c r="G42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2" s="6" t="s">
        <v>159</v>
      </c>
      <c r="I42" s="1">
        <f>BancosMesclados[[#This Row],[Data]]</f>
        <v>45293</v>
      </c>
      <c r="J42" t="s">
        <v>21</v>
      </c>
      <c r="K42" t="s">
        <v>18</v>
      </c>
      <c r="L42" s="6" t="s">
        <v>87</v>
      </c>
      <c r="M42" s="6">
        <f>BancosMesclados[[#This Row],[Lançamento]]</f>
        <v>-34</v>
      </c>
      <c r="N42" t="str">
        <f>MID(BancosMesclados[[#This Row],[CodCliente]],1,SEARCH("_",BancosMesclados[[#This Row],[CodCliente]])-1)</f>
        <v>Bradesco</v>
      </c>
      <c r="O42" s="6"/>
      <c r="P42" s="6"/>
      <c r="Q42" s="6"/>
    </row>
    <row r="43" spans="1:17" x14ac:dyDescent="0.4">
      <c r="A43" s="23" t="s">
        <v>163</v>
      </c>
      <c r="B43" s="1">
        <v>45293</v>
      </c>
      <c r="C43" t="s">
        <v>167</v>
      </c>
      <c r="D43">
        <v>-6635</v>
      </c>
      <c r="G43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3" s="6" t="s">
        <v>159</v>
      </c>
      <c r="I43" s="1">
        <f>BancosMesclados[[#This Row],[Data]]</f>
        <v>45293</v>
      </c>
      <c r="J43" t="s">
        <v>17</v>
      </c>
      <c r="K43" t="s">
        <v>18</v>
      </c>
      <c r="L43" s="6" t="s">
        <v>87</v>
      </c>
      <c r="M43" s="6">
        <f>BancosMesclados[[#This Row],[Lançamento]]</f>
        <v>-6635</v>
      </c>
      <c r="N43" t="str">
        <f>MID(BancosMesclados[[#This Row],[CodCliente]],1,SEARCH("_",BancosMesclados[[#This Row],[CodCliente]])-1)</f>
        <v>Bradesco</v>
      </c>
      <c r="O43" s="6"/>
      <c r="P43" s="6"/>
      <c r="Q43" s="6"/>
    </row>
    <row r="44" spans="1:17" x14ac:dyDescent="0.4">
      <c r="A44" s="23" t="s">
        <v>163</v>
      </c>
      <c r="B44" s="1">
        <v>45294</v>
      </c>
      <c r="C44" t="s">
        <v>168</v>
      </c>
      <c r="D44">
        <v>176</v>
      </c>
      <c r="G44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4" s="6" t="s">
        <v>159</v>
      </c>
      <c r="I44" s="1">
        <f>BancosMesclados[[#This Row],[Data]]</f>
        <v>45294</v>
      </c>
      <c r="J44" t="s">
        <v>92</v>
      </c>
      <c r="K44" t="s">
        <v>93</v>
      </c>
      <c r="L44" s="6" t="s">
        <v>95</v>
      </c>
      <c r="M44" s="6">
        <f>BancosMesclados[[#This Row],[Lançamento]]</f>
        <v>176</v>
      </c>
      <c r="N44" t="str">
        <f>MID(BancosMesclados[[#This Row],[CodCliente]],1,SEARCH("_",BancosMesclados[[#This Row],[CodCliente]])-1)</f>
        <v>Bradesco</v>
      </c>
      <c r="O44" s="6"/>
      <c r="P44" s="6"/>
      <c r="Q44" s="6"/>
    </row>
    <row r="45" spans="1:17" x14ac:dyDescent="0.4">
      <c r="A45" s="23" t="s">
        <v>163</v>
      </c>
      <c r="B45" s="1">
        <v>45294</v>
      </c>
      <c r="C45" t="s">
        <v>164</v>
      </c>
      <c r="D45">
        <v>60</v>
      </c>
      <c r="G45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5" s="6" t="s">
        <v>159</v>
      </c>
      <c r="I45" s="1">
        <f>BancosMesclados[[#This Row],[Data]]</f>
        <v>45294</v>
      </c>
      <c r="J45" t="s">
        <v>91</v>
      </c>
      <c r="K45" t="s">
        <v>93</v>
      </c>
      <c r="L45" s="6" t="s">
        <v>94</v>
      </c>
      <c r="M45" s="6">
        <f>BancosMesclados[[#This Row],[Lançamento]]</f>
        <v>60</v>
      </c>
      <c r="N45" t="str">
        <f>MID(BancosMesclados[[#This Row],[CodCliente]],1,SEARCH("_",BancosMesclados[[#This Row],[CodCliente]])-1)</f>
        <v>Bradesco</v>
      </c>
      <c r="O45" s="6"/>
      <c r="P45" s="6"/>
      <c r="Q45" s="6"/>
    </row>
    <row r="46" spans="1:17" x14ac:dyDescent="0.4">
      <c r="A46" s="23" t="s">
        <v>163</v>
      </c>
      <c r="B46" s="1">
        <v>45294</v>
      </c>
      <c r="C46" t="s">
        <v>169</v>
      </c>
      <c r="D46">
        <v>-124</v>
      </c>
      <c r="G46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6" s="6" t="s">
        <v>159</v>
      </c>
      <c r="I46" s="1">
        <f>BancosMesclados[[#This Row],[Data]]</f>
        <v>45294</v>
      </c>
      <c r="J46" t="s">
        <v>41</v>
      </c>
      <c r="K46" t="s">
        <v>39</v>
      </c>
      <c r="L46" s="6" t="s">
        <v>158</v>
      </c>
      <c r="M46" s="6">
        <f>BancosMesclados[[#This Row],[Lançamento]]</f>
        <v>-124</v>
      </c>
      <c r="N46" t="str">
        <f>MID(BancosMesclados[[#This Row],[CodCliente]],1,SEARCH("_",BancosMesclados[[#This Row],[CodCliente]])-1)</f>
        <v>Bradesco</v>
      </c>
      <c r="O46" s="6"/>
      <c r="P46" s="6"/>
      <c r="Q46" s="6"/>
    </row>
    <row r="47" spans="1:17" x14ac:dyDescent="0.4">
      <c r="A47" s="23" t="s">
        <v>163</v>
      </c>
      <c r="B47" s="1">
        <v>45294</v>
      </c>
      <c r="C47" t="s">
        <v>170</v>
      </c>
      <c r="D47">
        <v>-112</v>
      </c>
      <c r="G47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7" s="6" t="s">
        <v>159</v>
      </c>
      <c r="I47" s="1">
        <f>BancosMesclados[[#This Row],[Data]]</f>
        <v>45294</v>
      </c>
      <c r="J47" t="s">
        <v>50</v>
      </c>
      <c r="K47" t="s">
        <v>51</v>
      </c>
      <c r="L47" s="6" t="s">
        <v>87</v>
      </c>
      <c r="M47" s="6">
        <f>BancosMesclados[[#This Row],[Lançamento]]</f>
        <v>-112</v>
      </c>
      <c r="N47" t="str">
        <f>MID(BancosMesclados[[#This Row],[CodCliente]],1,SEARCH("_",BancosMesclados[[#This Row],[CodCliente]])-1)</f>
        <v>Bradesco</v>
      </c>
      <c r="O47" s="6"/>
      <c r="P47" s="6"/>
      <c r="Q47" s="6"/>
    </row>
    <row r="48" spans="1:17" x14ac:dyDescent="0.4">
      <c r="A48" s="23" t="s">
        <v>163</v>
      </c>
      <c r="B48" s="1">
        <v>45295</v>
      </c>
      <c r="C48" t="s">
        <v>164</v>
      </c>
      <c r="D48">
        <v>190</v>
      </c>
      <c r="G48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8" s="6" t="s">
        <v>159</v>
      </c>
      <c r="I48" s="1">
        <f>BancosMesclados[[#This Row],[Data]]</f>
        <v>45295</v>
      </c>
      <c r="J48" t="s">
        <v>91</v>
      </c>
      <c r="K48" t="s">
        <v>93</v>
      </c>
      <c r="L48" s="6" t="s">
        <v>94</v>
      </c>
      <c r="M48" s="6">
        <f>BancosMesclados[[#This Row],[Lançamento]]</f>
        <v>190</v>
      </c>
      <c r="N48" t="str">
        <f>MID(BancosMesclados[[#This Row],[CodCliente]],1,SEARCH("_",BancosMesclados[[#This Row],[CodCliente]])-1)</f>
        <v>Bradesco</v>
      </c>
      <c r="O48" s="6"/>
      <c r="P48" s="6"/>
      <c r="Q48" s="6"/>
    </row>
    <row r="49" spans="1:17" x14ac:dyDescent="0.4">
      <c r="A49" s="23" t="s">
        <v>163</v>
      </c>
      <c r="B49" s="1">
        <v>45295</v>
      </c>
      <c r="C49" t="s">
        <v>168</v>
      </c>
      <c r="D49">
        <v>59</v>
      </c>
      <c r="G49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49" s="6" t="s">
        <v>159</v>
      </c>
      <c r="I49" s="1">
        <f>BancosMesclados[[#This Row],[Data]]</f>
        <v>45295</v>
      </c>
      <c r="J49" t="s">
        <v>92</v>
      </c>
      <c r="K49" t="s">
        <v>93</v>
      </c>
      <c r="L49" s="6" t="s">
        <v>95</v>
      </c>
      <c r="M49" s="6">
        <f>BancosMesclados[[#This Row],[Lançamento]]</f>
        <v>59</v>
      </c>
      <c r="N49" t="str">
        <f>MID(BancosMesclados[[#This Row],[CodCliente]],1,SEARCH("_",BancosMesclados[[#This Row],[CodCliente]])-1)</f>
        <v>Bradesco</v>
      </c>
      <c r="O49" s="6"/>
      <c r="P49" s="6"/>
      <c r="Q49" s="6"/>
    </row>
    <row r="50" spans="1:17" x14ac:dyDescent="0.4">
      <c r="A50" s="23" t="s">
        <v>163</v>
      </c>
      <c r="B50" s="1">
        <v>45295</v>
      </c>
      <c r="C50" t="s">
        <v>170</v>
      </c>
      <c r="D50">
        <v>-250</v>
      </c>
      <c r="G50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0" s="6" t="s">
        <v>159</v>
      </c>
      <c r="I50" s="1">
        <f>BancosMesclados[[#This Row],[Data]]</f>
        <v>45295</v>
      </c>
      <c r="J50" t="s">
        <v>50</v>
      </c>
      <c r="K50" t="s">
        <v>51</v>
      </c>
      <c r="L50" s="6" t="s">
        <v>87</v>
      </c>
      <c r="M50" s="6">
        <f>BancosMesclados[[#This Row],[Lançamento]]</f>
        <v>-250</v>
      </c>
      <c r="N50" t="str">
        <f>MID(BancosMesclados[[#This Row],[CodCliente]],1,SEARCH("_",BancosMesclados[[#This Row],[CodCliente]])-1)</f>
        <v>Bradesco</v>
      </c>
      <c r="O50" s="6"/>
      <c r="P50" s="6"/>
      <c r="Q50" s="6"/>
    </row>
    <row r="51" spans="1:17" x14ac:dyDescent="0.4">
      <c r="A51" s="23" t="s">
        <v>163</v>
      </c>
      <c r="B51" s="1">
        <v>45296</v>
      </c>
      <c r="C51" t="s">
        <v>168</v>
      </c>
      <c r="D51">
        <v>236</v>
      </c>
      <c r="G51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1" s="6" t="s">
        <v>159</v>
      </c>
      <c r="I51" s="1">
        <f>BancosMesclados[[#This Row],[Data]]</f>
        <v>45296</v>
      </c>
      <c r="J51" t="s">
        <v>92</v>
      </c>
      <c r="K51" t="s">
        <v>93</v>
      </c>
      <c r="L51" s="6" t="s">
        <v>95</v>
      </c>
      <c r="M51" s="6">
        <f>BancosMesclados[[#This Row],[Lançamento]]</f>
        <v>236</v>
      </c>
      <c r="N51" t="str">
        <f>MID(BancosMesclados[[#This Row],[CodCliente]],1,SEARCH("_",BancosMesclados[[#This Row],[CodCliente]])-1)</f>
        <v>Bradesco</v>
      </c>
      <c r="O51" s="6"/>
      <c r="P51" s="6"/>
      <c r="Q51" s="6"/>
    </row>
    <row r="52" spans="1:17" x14ac:dyDescent="0.4">
      <c r="A52" s="23" t="s">
        <v>163</v>
      </c>
      <c r="B52" s="1">
        <v>45296</v>
      </c>
      <c r="C52" t="s">
        <v>165</v>
      </c>
      <c r="D52">
        <v>161</v>
      </c>
      <c r="G52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2" s="6" t="s">
        <v>159</v>
      </c>
      <c r="I52" s="1">
        <f>BancosMesclados[[#This Row],[Data]]</f>
        <v>45296</v>
      </c>
      <c r="J52" t="s">
        <v>17</v>
      </c>
      <c r="K52" t="s">
        <v>18</v>
      </c>
      <c r="L52" s="6" t="s">
        <v>87</v>
      </c>
      <c r="M52" s="6">
        <f>BancosMesclados[[#This Row],[Lançamento]]</f>
        <v>161</v>
      </c>
      <c r="N52" t="str">
        <f>MID(BancosMesclados[[#This Row],[CodCliente]],1,SEARCH("_",BancosMesclados[[#This Row],[CodCliente]])-1)</f>
        <v>Bradesco</v>
      </c>
      <c r="O52" s="6"/>
      <c r="P52" s="6"/>
      <c r="Q52" s="6"/>
    </row>
    <row r="53" spans="1:17" x14ac:dyDescent="0.4">
      <c r="A53" s="23" t="s">
        <v>163</v>
      </c>
      <c r="B53" s="1">
        <v>45296</v>
      </c>
      <c r="C53" t="s">
        <v>171</v>
      </c>
      <c r="D53">
        <v>-397</v>
      </c>
      <c r="G53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3" s="6" t="s">
        <v>159</v>
      </c>
      <c r="I53" s="1">
        <f>BancosMesclados[[#This Row],[Data]]</f>
        <v>45296</v>
      </c>
      <c r="J53" t="s">
        <v>49</v>
      </c>
      <c r="K53" t="s">
        <v>44</v>
      </c>
      <c r="L53" s="6" t="s">
        <v>156</v>
      </c>
      <c r="M53" s="6">
        <f>BancosMesclados[[#This Row],[Lançamento]]</f>
        <v>-397</v>
      </c>
      <c r="N53" t="str">
        <f>MID(BancosMesclados[[#This Row],[CodCliente]],1,SEARCH("_",BancosMesclados[[#This Row],[CodCliente]])-1)</f>
        <v>Bradesco</v>
      </c>
      <c r="O53" s="6"/>
      <c r="P53" s="6"/>
      <c r="Q53" s="6"/>
    </row>
    <row r="54" spans="1:17" x14ac:dyDescent="0.4">
      <c r="A54" s="23" t="s">
        <v>163</v>
      </c>
      <c r="B54" s="1">
        <v>45299</v>
      </c>
      <c r="C54" t="s">
        <v>168</v>
      </c>
      <c r="D54">
        <v>20</v>
      </c>
      <c r="G54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4" s="6" t="s">
        <v>159</v>
      </c>
      <c r="I54" s="1">
        <f>BancosMesclados[[#This Row],[Data]]</f>
        <v>45299</v>
      </c>
      <c r="J54" t="s">
        <v>92</v>
      </c>
      <c r="K54" t="s">
        <v>93</v>
      </c>
      <c r="L54" s="6" t="s">
        <v>95</v>
      </c>
      <c r="M54" s="6">
        <f>BancosMesclados[[#This Row],[Lançamento]]</f>
        <v>20</v>
      </c>
      <c r="N54" t="str">
        <f>MID(BancosMesclados[[#This Row],[CodCliente]],1,SEARCH("_",BancosMesclados[[#This Row],[CodCliente]])-1)</f>
        <v>Bradesco</v>
      </c>
      <c r="O54" s="6"/>
      <c r="P54" s="6"/>
      <c r="Q54" s="6"/>
    </row>
    <row r="55" spans="1:17" x14ac:dyDescent="0.4">
      <c r="A55" s="23" t="s">
        <v>163</v>
      </c>
      <c r="B55" s="1">
        <v>45299</v>
      </c>
      <c r="C55" t="s">
        <v>168</v>
      </c>
      <c r="D55">
        <v>21</v>
      </c>
      <c r="G55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5" s="6" t="s">
        <v>159</v>
      </c>
      <c r="I55" s="1">
        <f>BancosMesclados[[#This Row],[Data]]</f>
        <v>45299</v>
      </c>
      <c r="J55" t="s">
        <v>92</v>
      </c>
      <c r="K55" t="s">
        <v>93</v>
      </c>
      <c r="L55" s="6" t="s">
        <v>95</v>
      </c>
      <c r="M55" s="6">
        <f>BancosMesclados[[#This Row],[Lançamento]]</f>
        <v>21</v>
      </c>
      <c r="N55" t="str">
        <f>MID(BancosMesclados[[#This Row],[CodCliente]],1,SEARCH("_",BancosMesclados[[#This Row],[CodCliente]])-1)</f>
        <v>Bradesco</v>
      </c>
      <c r="O55" s="6"/>
      <c r="P55" s="6"/>
      <c r="Q55" s="6"/>
    </row>
    <row r="56" spans="1:17" x14ac:dyDescent="0.4">
      <c r="A56" s="23" t="s">
        <v>163</v>
      </c>
      <c r="B56" s="1">
        <v>45299</v>
      </c>
      <c r="C56" t="s">
        <v>168</v>
      </c>
      <c r="D56">
        <v>371</v>
      </c>
      <c r="G56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6" s="6" t="s">
        <v>159</v>
      </c>
      <c r="I56" s="1">
        <f>BancosMesclados[[#This Row],[Data]]</f>
        <v>45299</v>
      </c>
      <c r="J56" t="s">
        <v>92</v>
      </c>
      <c r="K56" t="s">
        <v>93</v>
      </c>
      <c r="L56" s="6" t="s">
        <v>95</v>
      </c>
      <c r="M56" s="6">
        <f>BancosMesclados[[#This Row],[Lançamento]]</f>
        <v>371</v>
      </c>
      <c r="N56" t="str">
        <f>MID(BancosMesclados[[#This Row],[CodCliente]],1,SEARCH("_",BancosMesclados[[#This Row],[CodCliente]])-1)</f>
        <v>Bradesco</v>
      </c>
      <c r="O56" s="6"/>
      <c r="P56" s="6"/>
      <c r="Q56" s="6"/>
    </row>
    <row r="57" spans="1:17" x14ac:dyDescent="0.4">
      <c r="A57" s="23" t="s">
        <v>163</v>
      </c>
      <c r="B57" s="1">
        <v>45299</v>
      </c>
      <c r="C57" t="s">
        <v>170</v>
      </c>
      <c r="D57">
        <v>-412</v>
      </c>
      <c r="G57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7" s="6" t="s">
        <v>159</v>
      </c>
      <c r="I57" s="1">
        <f>BancosMesclados[[#This Row],[Data]]</f>
        <v>45299</v>
      </c>
      <c r="J57" t="s">
        <v>50</v>
      </c>
      <c r="K57" t="s">
        <v>51</v>
      </c>
      <c r="L57" s="6" t="s">
        <v>87</v>
      </c>
      <c r="M57" s="6">
        <f>BancosMesclados[[#This Row],[Lançamento]]</f>
        <v>-412</v>
      </c>
      <c r="N57" t="str">
        <f>MID(BancosMesclados[[#This Row],[CodCliente]],1,SEARCH("_",BancosMesclados[[#This Row],[CodCliente]])-1)</f>
        <v>Bradesco</v>
      </c>
      <c r="O57" s="6"/>
      <c r="P57" s="6"/>
      <c r="Q57" s="6"/>
    </row>
    <row r="58" spans="1:17" x14ac:dyDescent="0.4">
      <c r="A58" s="23" t="s">
        <v>163</v>
      </c>
      <c r="B58" s="1">
        <v>45300</v>
      </c>
      <c r="C58" t="s">
        <v>164</v>
      </c>
      <c r="D58">
        <v>153</v>
      </c>
      <c r="G58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8" s="6" t="s">
        <v>159</v>
      </c>
      <c r="I58" s="1">
        <f>BancosMesclados[[#This Row],[Data]]</f>
        <v>45300</v>
      </c>
      <c r="J58" t="s">
        <v>91</v>
      </c>
      <c r="K58" t="s">
        <v>93</v>
      </c>
      <c r="L58" s="6" t="s">
        <v>94</v>
      </c>
      <c r="M58" s="6">
        <f>BancosMesclados[[#This Row],[Lançamento]]</f>
        <v>153</v>
      </c>
      <c r="N58" t="str">
        <f>MID(BancosMesclados[[#This Row],[CodCliente]],1,SEARCH("_",BancosMesclados[[#This Row],[CodCliente]])-1)</f>
        <v>Bradesco</v>
      </c>
      <c r="O58" s="6"/>
      <c r="P58" s="6"/>
      <c r="Q58" s="6"/>
    </row>
    <row r="59" spans="1:17" x14ac:dyDescent="0.4">
      <c r="A59" s="23" t="s">
        <v>163</v>
      </c>
      <c r="B59" s="1">
        <v>45300</v>
      </c>
      <c r="C59" t="s">
        <v>172</v>
      </c>
      <c r="D59">
        <v>796</v>
      </c>
      <c r="G59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59" s="6" t="s">
        <v>159</v>
      </c>
      <c r="I59" s="1">
        <f>BancosMesclados[[#This Row],[Data]]</f>
        <v>45300</v>
      </c>
      <c r="J59" t="s">
        <v>92</v>
      </c>
      <c r="K59" t="s">
        <v>93</v>
      </c>
      <c r="L59" s="6" t="s">
        <v>95</v>
      </c>
      <c r="M59" s="6">
        <f>BancosMesclados[[#This Row],[Lançamento]]</f>
        <v>796</v>
      </c>
      <c r="N59" t="str">
        <f>MID(BancosMesclados[[#This Row],[CodCliente]],1,SEARCH("_",BancosMesclados[[#This Row],[CodCliente]])-1)</f>
        <v>Bradesco</v>
      </c>
      <c r="O59" s="6"/>
      <c r="P59" s="6"/>
      <c r="Q59" s="6"/>
    </row>
    <row r="60" spans="1:17" x14ac:dyDescent="0.4">
      <c r="A60" s="23" t="s">
        <v>163</v>
      </c>
      <c r="B60" s="1">
        <v>45300</v>
      </c>
      <c r="C60" t="s">
        <v>170</v>
      </c>
      <c r="D60">
        <v>-948</v>
      </c>
      <c r="G60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0" s="6" t="s">
        <v>159</v>
      </c>
      <c r="I60" s="1">
        <f>BancosMesclados[[#This Row],[Data]]</f>
        <v>45300</v>
      </c>
      <c r="J60" t="s">
        <v>50</v>
      </c>
      <c r="K60" t="s">
        <v>51</v>
      </c>
      <c r="L60" s="6" t="s">
        <v>87</v>
      </c>
      <c r="M60" s="6">
        <f>BancosMesclados[[#This Row],[Lançamento]]</f>
        <v>-948</v>
      </c>
      <c r="N60" t="str">
        <f>MID(BancosMesclados[[#This Row],[CodCliente]],1,SEARCH("_",BancosMesclados[[#This Row],[CodCliente]])-1)</f>
        <v>Bradesco</v>
      </c>
      <c r="O60" s="6"/>
      <c r="P60" s="6"/>
      <c r="Q60" s="6"/>
    </row>
    <row r="61" spans="1:17" x14ac:dyDescent="0.4">
      <c r="A61" s="23" t="s">
        <v>163</v>
      </c>
      <c r="B61" s="1">
        <v>45301</v>
      </c>
      <c r="C61" t="s">
        <v>168</v>
      </c>
      <c r="D61">
        <v>372</v>
      </c>
      <c r="G61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1" s="6" t="s">
        <v>159</v>
      </c>
      <c r="I61" s="1">
        <f>BancosMesclados[[#This Row],[Data]]</f>
        <v>45301</v>
      </c>
      <c r="J61" t="s">
        <v>92</v>
      </c>
      <c r="K61" t="s">
        <v>93</v>
      </c>
      <c r="L61" s="6" t="s">
        <v>95</v>
      </c>
      <c r="M61" s="6">
        <f>BancosMesclados[[#This Row],[Lançamento]]</f>
        <v>372</v>
      </c>
      <c r="N61" t="str">
        <f>MID(BancosMesclados[[#This Row],[CodCliente]],1,SEARCH("_",BancosMesclados[[#This Row],[CodCliente]])-1)</f>
        <v>Bradesco</v>
      </c>
      <c r="O61" s="6"/>
      <c r="P61" s="6"/>
      <c r="Q61" s="6"/>
    </row>
    <row r="62" spans="1:17" x14ac:dyDescent="0.4">
      <c r="A62" s="23" t="s">
        <v>163</v>
      </c>
      <c r="B62" s="1">
        <v>45301</v>
      </c>
      <c r="C62" t="s">
        <v>170</v>
      </c>
      <c r="D62">
        <v>-372</v>
      </c>
      <c r="G62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2" s="6" t="s">
        <v>159</v>
      </c>
      <c r="I62" s="1">
        <f>BancosMesclados[[#This Row],[Data]]</f>
        <v>45301</v>
      </c>
      <c r="J62" t="s">
        <v>50</v>
      </c>
      <c r="K62" t="s">
        <v>51</v>
      </c>
      <c r="L62" s="6" t="s">
        <v>87</v>
      </c>
      <c r="M62" s="6">
        <f>BancosMesclados[[#This Row],[Lançamento]]</f>
        <v>-372</v>
      </c>
      <c r="N62" t="str">
        <f>MID(BancosMesclados[[#This Row],[CodCliente]],1,SEARCH("_",BancosMesclados[[#This Row],[CodCliente]])-1)</f>
        <v>Bradesco</v>
      </c>
      <c r="O62" s="6"/>
      <c r="P62" s="6"/>
      <c r="Q62" s="6"/>
    </row>
    <row r="63" spans="1:17" x14ac:dyDescent="0.4">
      <c r="A63" s="23" t="s">
        <v>163</v>
      </c>
      <c r="B63" s="1">
        <v>45301</v>
      </c>
      <c r="C63" t="s">
        <v>170</v>
      </c>
      <c r="D63">
        <v>-372</v>
      </c>
      <c r="G63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3" s="6" t="s">
        <v>159</v>
      </c>
      <c r="I63" s="1">
        <f>BancosMesclados[[#This Row],[Data]]</f>
        <v>45301</v>
      </c>
      <c r="J63" t="s">
        <v>50</v>
      </c>
      <c r="K63" t="s">
        <v>51</v>
      </c>
      <c r="L63" s="6" t="s">
        <v>87</v>
      </c>
      <c r="M63" s="6">
        <f>BancosMesclados[[#This Row],[Lançamento]]</f>
        <v>-372</v>
      </c>
      <c r="N63" t="str">
        <f>MID(BancosMesclados[[#This Row],[CodCliente]],1,SEARCH("_",BancosMesclados[[#This Row],[CodCliente]])-1)</f>
        <v>Bradesco</v>
      </c>
      <c r="O63" s="6"/>
      <c r="P63" s="6"/>
      <c r="Q63" s="6"/>
    </row>
    <row r="64" spans="1:17" x14ac:dyDescent="0.4">
      <c r="A64" s="23" t="s">
        <v>163</v>
      </c>
      <c r="B64" s="1">
        <v>45302</v>
      </c>
      <c r="C64" t="s">
        <v>173</v>
      </c>
      <c r="D64">
        <v>1232</v>
      </c>
      <c r="G64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4" s="6" t="s">
        <v>159</v>
      </c>
      <c r="I64" s="1">
        <f>BancosMesclados[[#This Row],[Data]]</f>
        <v>45302</v>
      </c>
      <c r="J64" t="s">
        <v>91</v>
      </c>
      <c r="K64" t="s">
        <v>93</v>
      </c>
      <c r="L64" s="6" t="s">
        <v>94</v>
      </c>
      <c r="M64" s="6">
        <f>BancosMesclados[[#This Row],[Lançamento]]</f>
        <v>1232</v>
      </c>
      <c r="N64" t="str">
        <f>MID(BancosMesclados[[#This Row],[CodCliente]],1,SEARCH("_",BancosMesclados[[#This Row],[CodCliente]])-1)</f>
        <v>Bradesco</v>
      </c>
      <c r="O64" s="6"/>
      <c r="P64" s="6"/>
      <c r="Q64" s="6"/>
    </row>
    <row r="65" spans="1:17" x14ac:dyDescent="0.4">
      <c r="A65" s="23" t="s">
        <v>163</v>
      </c>
      <c r="B65" s="1">
        <v>45302</v>
      </c>
      <c r="C65" t="s">
        <v>168</v>
      </c>
      <c r="D65">
        <v>45</v>
      </c>
      <c r="G65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5" s="6" t="s">
        <v>159</v>
      </c>
      <c r="I65" s="1">
        <f>BancosMesclados[[#This Row],[Data]]</f>
        <v>45302</v>
      </c>
      <c r="J65" t="s">
        <v>92</v>
      </c>
      <c r="K65" t="s">
        <v>93</v>
      </c>
      <c r="L65" s="6" t="s">
        <v>95</v>
      </c>
      <c r="M65" s="6">
        <f>BancosMesclados[[#This Row],[Lançamento]]</f>
        <v>45</v>
      </c>
      <c r="N65" t="str">
        <f>MID(BancosMesclados[[#This Row],[CodCliente]],1,SEARCH("_",BancosMesclados[[#This Row],[CodCliente]])-1)</f>
        <v>Bradesco</v>
      </c>
      <c r="O65" s="6"/>
      <c r="P65" s="6"/>
      <c r="Q65" s="6"/>
    </row>
    <row r="66" spans="1:17" x14ac:dyDescent="0.4">
      <c r="A66" s="23" t="s">
        <v>163</v>
      </c>
      <c r="B66" s="1">
        <v>45302</v>
      </c>
      <c r="C66" t="s">
        <v>174</v>
      </c>
      <c r="D66">
        <v>-1278</v>
      </c>
      <c r="G66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6" s="6" t="s">
        <v>159</v>
      </c>
      <c r="I66" s="1">
        <f>BancosMesclados[[#This Row],[Data]]</f>
        <v>45302</v>
      </c>
      <c r="J66" t="s">
        <v>50</v>
      </c>
      <c r="K66" t="s">
        <v>51</v>
      </c>
      <c r="L66" s="6" t="s">
        <v>87</v>
      </c>
      <c r="M66" s="6">
        <f>BancosMesclados[[#This Row],[Lançamento]]</f>
        <v>-1278</v>
      </c>
      <c r="N66" t="str">
        <f>MID(BancosMesclados[[#This Row],[CodCliente]],1,SEARCH("_",BancosMesclados[[#This Row],[CodCliente]])-1)</f>
        <v>Bradesco</v>
      </c>
      <c r="O66" s="6"/>
      <c r="P66" s="6"/>
      <c r="Q66" s="6"/>
    </row>
    <row r="67" spans="1:17" x14ac:dyDescent="0.4">
      <c r="A67" s="23" t="s">
        <v>163</v>
      </c>
      <c r="B67" s="1">
        <v>45293</v>
      </c>
      <c r="C67" t="s">
        <v>175</v>
      </c>
      <c r="G67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7" s="6" t="s">
        <v>159</v>
      </c>
      <c r="I67" s="1">
        <f>BancosMesclados[[#This Row],[Data]]</f>
        <v>45293</v>
      </c>
      <c r="J67" t="s">
        <v>75</v>
      </c>
      <c r="K67" t="s">
        <v>18</v>
      </c>
      <c r="L67" s="6" t="s">
        <v>96</v>
      </c>
      <c r="M67" s="6">
        <f>BancosMesclados[[#This Row],[Lançamento]]</f>
        <v>0</v>
      </c>
      <c r="N67" t="str">
        <f>MID(BancosMesclados[[#This Row],[CodCliente]],1,SEARCH("_",BancosMesclados[[#This Row],[CodCliente]])-1)</f>
        <v>Bradesco</v>
      </c>
      <c r="O67" s="6"/>
      <c r="P67" s="6"/>
      <c r="Q67" s="6"/>
    </row>
    <row r="68" spans="1:17" x14ac:dyDescent="0.4">
      <c r="A68" s="23" t="s">
        <v>163</v>
      </c>
      <c r="B68" s="1">
        <v>45294</v>
      </c>
      <c r="C68" t="s">
        <v>175</v>
      </c>
      <c r="G68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8" s="6" t="s">
        <v>159</v>
      </c>
      <c r="I68" s="1">
        <f>BancosMesclados[[#This Row],[Data]]</f>
        <v>45294</v>
      </c>
      <c r="J68" t="s">
        <v>92</v>
      </c>
      <c r="K68" t="s">
        <v>93</v>
      </c>
      <c r="L68" s="6" t="s">
        <v>95</v>
      </c>
      <c r="M68" s="6">
        <f>BancosMesclados[[#This Row],[Lançamento]]</f>
        <v>0</v>
      </c>
      <c r="N68" t="str">
        <f>MID(BancosMesclados[[#This Row],[CodCliente]],1,SEARCH("_",BancosMesclados[[#This Row],[CodCliente]])-1)</f>
        <v>Bradesco</v>
      </c>
      <c r="O68" s="6"/>
      <c r="P68" s="6"/>
      <c r="Q68" s="6"/>
    </row>
    <row r="69" spans="1:17" x14ac:dyDescent="0.4">
      <c r="A69" s="23" t="s">
        <v>163</v>
      </c>
      <c r="B69" s="1">
        <v>45295</v>
      </c>
      <c r="C69" t="s">
        <v>175</v>
      </c>
      <c r="G69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69" s="6" t="s">
        <v>159</v>
      </c>
      <c r="I69" s="1">
        <f>BancosMesclados[[#This Row],[Data]]</f>
        <v>45295</v>
      </c>
      <c r="J69" t="s">
        <v>75</v>
      </c>
      <c r="K69" t="s">
        <v>18</v>
      </c>
      <c r="L69" s="6" t="s">
        <v>96</v>
      </c>
      <c r="M69" s="6">
        <f>BancosMesclados[[#This Row],[Lançamento]]</f>
        <v>0</v>
      </c>
      <c r="N69" t="str">
        <f>MID(BancosMesclados[[#This Row],[CodCliente]],1,SEARCH("_",BancosMesclados[[#This Row],[CodCliente]])-1)</f>
        <v>Bradesco</v>
      </c>
      <c r="O69" s="6"/>
      <c r="P69" s="6"/>
      <c r="Q69" s="6"/>
    </row>
    <row r="70" spans="1:17" x14ac:dyDescent="0.4">
      <c r="A70" s="23" t="s">
        <v>163</v>
      </c>
      <c r="B70" s="1">
        <v>45296</v>
      </c>
      <c r="C70" t="s">
        <v>175</v>
      </c>
      <c r="G70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70" s="6" t="s">
        <v>159</v>
      </c>
      <c r="I70" s="1">
        <f>BancosMesclados[[#This Row],[Data]]</f>
        <v>45296</v>
      </c>
      <c r="J70" t="s">
        <v>92</v>
      </c>
      <c r="K70" t="s">
        <v>93</v>
      </c>
      <c r="L70" s="6" t="s">
        <v>95</v>
      </c>
      <c r="M70" s="6">
        <f>BancosMesclados[[#This Row],[Lançamento]]</f>
        <v>0</v>
      </c>
      <c r="N70" t="str">
        <f>MID(BancosMesclados[[#This Row],[CodCliente]],1,SEARCH("_",BancosMesclados[[#This Row],[CodCliente]])-1)</f>
        <v>Bradesco</v>
      </c>
      <c r="O70" s="6"/>
      <c r="P70" s="6"/>
      <c r="Q70" s="6"/>
    </row>
    <row r="71" spans="1:17" x14ac:dyDescent="0.4">
      <c r="A71" s="23" t="s">
        <v>163</v>
      </c>
      <c r="B71" s="1">
        <v>45299</v>
      </c>
      <c r="C71" t="s">
        <v>175</v>
      </c>
      <c r="G71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71" s="6" t="s">
        <v>159</v>
      </c>
      <c r="I71" s="1">
        <f>BancosMesclados[[#This Row],[Data]]</f>
        <v>45299</v>
      </c>
      <c r="J71" t="s">
        <v>92</v>
      </c>
      <c r="K71" t="s">
        <v>93</v>
      </c>
      <c r="L71" s="6" t="s">
        <v>95</v>
      </c>
      <c r="M71" s="6">
        <f>BancosMesclados[[#This Row],[Lançamento]]</f>
        <v>0</v>
      </c>
      <c r="N71" t="str">
        <f>MID(BancosMesclados[[#This Row],[CodCliente]],1,SEARCH("_",BancosMesclados[[#This Row],[CodCliente]])-1)</f>
        <v>Bradesco</v>
      </c>
      <c r="O71" s="6"/>
      <c r="P71" s="6"/>
      <c r="Q71" s="6"/>
    </row>
    <row r="72" spans="1:17" x14ac:dyDescent="0.4">
      <c r="A72" s="23" t="s">
        <v>163</v>
      </c>
      <c r="B72" s="1">
        <v>45300</v>
      </c>
      <c r="C72" t="s">
        <v>175</v>
      </c>
      <c r="G72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72" s="6" t="s">
        <v>159</v>
      </c>
      <c r="I72" s="1">
        <f>BancosMesclados[[#This Row],[Data]]</f>
        <v>45300</v>
      </c>
      <c r="J72" t="s">
        <v>75</v>
      </c>
      <c r="K72" t="s">
        <v>18</v>
      </c>
      <c r="L72" s="6" t="s">
        <v>96</v>
      </c>
      <c r="M72" s="6">
        <f>BancosMesclados[[#This Row],[Lançamento]]</f>
        <v>0</v>
      </c>
      <c r="N72" t="str">
        <f>MID(BancosMesclados[[#This Row],[CodCliente]],1,SEARCH("_",BancosMesclados[[#This Row],[CodCliente]])-1)</f>
        <v>Bradesco</v>
      </c>
      <c r="O72" s="6"/>
      <c r="P72" s="6"/>
      <c r="Q72" s="6"/>
    </row>
    <row r="73" spans="1:17" x14ac:dyDescent="0.4">
      <c r="A73" s="23" t="s">
        <v>163</v>
      </c>
      <c r="B73" s="1">
        <v>45301</v>
      </c>
      <c r="C73" t="s">
        <v>175</v>
      </c>
      <c r="G73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73" s="6" t="s">
        <v>159</v>
      </c>
      <c r="I73" s="1">
        <f>BancosMesclados[[#This Row],[Data]]</f>
        <v>45301</v>
      </c>
      <c r="J73" t="s">
        <v>55</v>
      </c>
      <c r="K73" t="s">
        <v>51</v>
      </c>
      <c r="L73" s="6" t="s">
        <v>160</v>
      </c>
      <c r="M73" s="6">
        <f>BancosMesclados[[#This Row],[Lançamento]]</f>
        <v>0</v>
      </c>
      <c r="N73" t="str">
        <f>MID(BancosMesclados[[#This Row],[CodCliente]],1,SEARCH("_",BancosMesclados[[#This Row],[CodCliente]])-1)</f>
        <v>Bradesco</v>
      </c>
      <c r="O73" s="6"/>
      <c r="P73" s="6"/>
      <c r="Q73" s="6"/>
    </row>
    <row r="74" spans="1:17" x14ac:dyDescent="0.4">
      <c r="A74" s="23" t="s">
        <v>163</v>
      </c>
      <c r="B74" s="1">
        <v>45302</v>
      </c>
      <c r="C74" t="s">
        <v>175</v>
      </c>
      <c r="G74" s="6" t="str">
        <f>MID(BancosMesclados[[#This Row],[CodCliente]],SEARCH("_",BancosMesclados[[#This Row],[CodCliente]])+1,SEARCH(".",BancosMesclados[[#This Row],[CodCliente]])-SEARCH("_",BancosMesclados[[#This Row],[CodCliente]])-1)</f>
        <v>PJ031</v>
      </c>
      <c r="H74" s="6" t="s">
        <v>159</v>
      </c>
      <c r="I74" s="1">
        <f>BancosMesclados[[#This Row],[Data]]</f>
        <v>45302</v>
      </c>
      <c r="J74" t="s">
        <v>75</v>
      </c>
      <c r="K74" t="s">
        <v>18</v>
      </c>
      <c r="L74" s="6" t="s">
        <v>96</v>
      </c>
      <c r="M74" s="6">
        <f>BancosMesclados[[#This Row],[Lançamento]]</f>
        <v>0</v>
      </c>
      <c r="N74" t="str">
        <f>MID(BancosMesclados[[#This Row],[CodCliente]],1,SEARCH("_",BancosMesclados[[#This Row],[CodCliente]])-1)</f>
        <v>Bradesco</v>
      </c>
      <c r="O74" s="6"/>
      <c r="P74" s="6"/>
      <c r="Q74" s="6"/>
    </row>
    <row r="75" spans="1:17" x14ac:dyDescent="0.4">
      <c r="A75" s="23" t="s">
        <v>133</v>
      </c>
      <c r="B75" s="1">
        <v>45161</v>
      </c>
      <c r="C75" t="s">
        <v>98</v>
      </c>
      <c r="D75">
        <v>-200</v>
      </c>
      <c r="G75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75" s="6" t="s">
        <v>88</v>
      </c>
      <c r="I75" s="1">
        <f>BancosMesclados[[#This Row],[Data]]</f>
        <v>45161</v>
      </c>
      <c r="J75" t="s">
        <v>55</v>
      </c>
      <c r="K75" t="s">
        <v>51</v>
      </c>
      <c r="L75" s="6" t="s">
        <v>156</v>
      </c>
      <c r="M75" s="6">
        <f>BancosMesclados[[#This Row],[Lançamento]]</f>
        <v>-200</v>
      </c>
      <c r="N75" t="str">
        <f>MID(BancosMesclados[[#This Row],[CodCliente]],1,SEARCH("_",BancosMesclados[[#This Row],[CodCliente]])-1)</f>
        <v>Santander</v>
      </c>
      <c r="O75" s="6"/>
      <c r="P75" s="6"/>
      <c r="Q75" s="6"/>
    </row>
    <row r="76" spans="1:17" x14ac:dyDescent="0.4">
      <c r="A76" s="23" t="s">
        <v>133</v>
      </c>
      <c r="B76" s="1">
        <v>45161</v>
      </c>
      <c r="C76" t="s">
        <v>99</v>
      </c>
      <c r="D76">
        <v>-130</v>
      </c>
      <c r="G76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76" s="6" t="s">
        <v>88</v>
      </c>
      <c r="I76" s="1">
        <f>BancosMesclados[[#This Row],[Data]]</f>
        <v>45161</v>
      </c>
      <c r="J76" t="s">
        <v>75</v>
      </c>
      <c r="K76" t="s">
        <v>18</v>
      </c>
      <c r="L76" s="6" t="s">
        <v>96</v>
      </c>
      <c r="M76" s="6">
        <f>BancosMesclados[[#This Row],[Lançamento]]</f>
        <v>-130</v>
      </c>
      <c r="N76" t="str">
        <f>MID(BancosMesclados[[#This Row],[CodCliente]],1,SEARCH("_",BancosMesclados[[#This Row],[CodCliente]])-1)</f>
        <v>Santander</v>
      </c>
      <c r="O76" s="6"/>
      <c r="P76" s="6"/>
      <c r="Q76" s="6"/>
    </row>
    <row r="77" spans="1:17" x14ac:dyDescent="0.4">
      <c r="A77" s="23" t="s">
        <v>133</v>
      </c>
      <c r="B77" s="1">
        <v>45160</v>
      </c>
      <c r="C77" t="s">
        <v>100</v>
      </c>
      <c r="D77">
        <v>-1921.99</v>
      </c>
      <c r="G77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77" s="6" t="s">
        <v>88</v>
      </c>
      <c r="I77" s="1">
        <f>BancosMesclados[[#This Row],[Data]]</f>
        <v>45160</v>
      </c>
      <c r="J77" t="s">
        <v>55</v>
      </c>
      <c r="K77" t="s">
        <v>51</v>
      </c>
      <c r="L77" s="6" t="s">
        <v>156</v>
      </c>
      <c r="M77" s="6">
        <f>BancosMesclados[[#This Row],[Lançamento]]</f>
        <v>-1921.99</v>
      </c>
      <c r="N77" t="str">
        <f>MID(BancosMesclados[[#This Row],[CodCliente]],1,SEARCH("_",BancosMesclados[[#This Row],[CodCliente]])-1)</f>
        <v>Santander</v>
      </c>
      <c r="O77" s="6"/>
      <c r="P77" s="6"/>
      <c r="Q77" s="6"/>
    </row>
    <row r="78" spans="1:17" x14ac:dyDescent="0.4">
      <c r="A78" s="23" t="s">
        <v>133</v>
      </c>
      <c r="B78" s="1">
        <v>45160</v>
      </c>
      <c r="C78" t="s">
        <v>101</v>
      </c>
      <c r="D78">
        <v>1921.99</v>
      </c>
      <c r="G78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78" s="6" t="s">
        <v>88</v>
      </c>
      <c r="I78" s="1">
        <f>BancosMesclados[[#This Row],[Data]]</f>
        <v>45160</v>
      </c>
      <c r="J78" t="s">
        <v>91</v>
      </c>
      <c r="K78" t="s">
        <v>93</v>
      </c>
      <c r="L78" s="6" t="s">
        <v>94</v>
      </c>
      <c r="M78" s="6">
        <f>BancosMesclados[[#This Row],[Lançamento]]</f>
        <v>1921.99</v>
      </c>
      <c r="N78" t="str">
        <f>MID(BancosMesclados[[#This Row],[CodCliente]],1,SEARCH("_",BancosMesclados[[#This Row],[CodCliente]])-1)</f>
        <v>Santander</v>
      </c>
      <c r="O78" s="6"/>
      <c r="P78" s="6"/>
      <c r="Q78" s="6"/>
    </row>
    <row r="79" spans="1:17" x14ac:dyDescent="0.4">
      <c r="A79" s="23" t="s">
        <v>133</v>
      </c>
      <c r="B79" s="1">
        <v>45159</v>
      </c>
      <c r="C79" t="s">
        <v>102</v>
      </c>
      <c r="D79">
        <v>-35.1</v>
      </c>
      <c r="G79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79" s="6" t="s">
        <v>88</v>
      </c>
      <c r="I79" s="1">
        <f>BancosMesclados[[#This Row],[Data]]</f>
        <v>45159</v>
      </c>
      <c r="J79" t="s">
        <v>67</v>
      </c>
      <c r="K79" t="s">
        <v>18</v>
      </c>
      <c r="L79" s="6" t="s">
        <v>87</v>
      </c>
      <c r="M79" s="6">
        <f>BancosMesclados[[#This Row],[Lançamento]]</f>
        <v>-35.1</v>
      </c>
      <c r="N79" t="str">
        <f>MID(BancosMesclados[[#This Row],[CodCliente]],1,SEARCH("_",BancosMesclados[[#This Row],[CodCliente]])-1)</f>
        <v>Santander</v>
      </c>
      <c r="O79" s="6"/>
      <c r="P79" s="6"/>
      <c r="Q79" s="6"/>
    </row>
    <row r="80" spans="1:17" x14ac:dyDescent="0.4">
      <c r="A80" s="23" t="s">
        <v>133</v>
      </c>
      <c r="B80" s="1">
        <v>45159</v>
      </c>
      <c r="C80" t="s">
        <v>103</v>
      </c>
      <c r="D80">
        <v>-3.4</v>
      </c>
      <c r="G80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0" s="6" t="s">
        <v>88</v>
      </c>
      <c r="I80" s="1">
        <f>BancosMesclados[[#This Row],[Data]]</f>
        <v>45159</v>
      </c>
      <c r="J80" t="s">
        <v>50</v>
      </c>
      <c r="K80" t="s">
        <v>51</v>
      </c>
      <c r="L80" s="6" t="s">
        <v>87</v>
      </c>
      <c r="M80" s="6">
        <f>BancosMesclados[[#This Row],[Lançamento]]</f>
        <v>-3.4</v>
      </c>
      <c r="N80" t="str">
        <f>MID(BancosMesclados[[#This Row],[CodCliente]],1,SEARCH("_",BancosMesclados[[#This Row],[CodCliente]])-1)</f>
        <v>Santander</v>
      </c>
      <c r="O80" s="6"/>
      <c r="P80" s="6"/>
      <c r="Q80" s="6"/>
    </row>
    <row r="81" spans="1:17" x14ac:dyDescent="0.4">
      <c r="A81" s="23" t="s">
        <v>133</v>
      </c>
      <c r="B81" s="1">
        <v>45156</v>
      </c>
      <c r="C81" t="s">
        <v>98</v>
      </c>
      <c r="D81">
        <v>-550</v>
      </c>
      <c r="G81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1" s="6" t="s">
        <v>88</v>
      </c>
      <c r="I81" s="1">
        <f>BancosMesclados[[#This Row],[Data]]</f>
        <v>45156</v>
      </c>
      <c r="J81" t="s">
        <v>55</v>
      </c>
      <c r="K81" t="s">
        <v>51</v>
      </c>
      <c r="L81" s="6" t="s">
        <v>156</v>
      </c>
      <c r="M81" s="6">
        <f>BancosMesclados[[#This Row],[Lançamento]]</f>
        <v>-550</v>
      </c>
      <c r="N81" t="str">
        <f>MID(BancosMesclados[[#This Row],[CodCliente]],1,SEARCH("_",BancosMesclados[[#This Row],[CodCliente]])-1)</f>
        <v>Santander</v>
      </c>
      <c r="O81" s="6"/>
      <c r="P81" s="6"/>
      <c r="Q81" s="6"/>
    </row>
    <row r="82" spans="1:17" x14ac:dyDescent="0.4">
      <c r="A82" s="23" t="s">
        <v>133</v>
      </c>
      <c r="B82" s="1">
        <v>45156</v>
      </c>
      <c r="C82" t="s">
        <v>104</v>
      </c>
      <c r="D82">
        <v>-100</v>
      </c>
      <c r="G82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2" s="6" t="s">
        <v>88</v>
      </c>
      <c r="I82" s="1">
        <f>BancosMesclados[[#This Row],[Data]]</f>
        <v>45156</v>
      </c>
      <c r="J82" t="s">
        <v>55</v>
      </c>
      <c r="K82" t="s">
        <v>51</v>
      </c>
      <c r="L82" s="6" t="s">
        <v>156</v>
      </c>
      <c r="M82" s="6">
        <f>BancosMesclados[[#This Row],[Lançamento]]</f>
        <v>-100</v>
      </c>
      <c r="N82" t="str">
        <f>MID(BancosMesclados[[#This Row],[CodCliente]],1,SEARCH("_",BancosMesclados[[#This Row],[CodCliente]])-1)</f>
        <v>Santander</v>
      </c>
      <c r="O82" s="6"/>
      <c r="P82" s="6"/>
      <c r="Q82" s="6"/>
    </row>
    <row r="83" spans="1:17" x14ac:dyDescent="0.4">
      <c r="A83" s="23" t="s">
        <v>133</v>
      </c>
      <c r="B83" s="1">
        <v>45156</v>
      </c>
      <c r="C83" t="s">
        <v>105</v>
      </c>
      <c r="D83">
        <v>-1600</v>
      </c>
      <c r="G83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3" s="6" t="s">
        <v>88</v>
      </c>
      <c r="I83" s="1">
        <f>BancosMesclados[[#This Row],[Data]]</f>
        <v>45156</v>
      </c>
      <c r="J83" t="s">
        <v>55</v>
      </c>
      <c r="K83" t="s">
        <v>51</v>
      </c>
      <c r="L83" s="6" t="s">
        <v>156</v>
      </c>
      <c r="M83" s="6">
        <f>BancosMesclados[[#This Row],[Lançamento]]</f>
        <v>-1600</v>
      </c>
      <c r="N83" t="str">
        <f>MID(BancosMesclados[[#This Row],[CodCliente]],1,SEARCH("_",BancosMesclados[[#This Row],[CodCliente]])-1)</f>
        <v>Santander</v>
      </c>
      <c r="O83" s="6"/>
      <c r="P83" s="6"/>
      <c r="Q83" s="6"/>
    </row>
    <row r="84" spans="1:17" x14ac:dyDescent="0.4">
      <c r="A84" s="23" t="s">
        <v>133</v>
      </c>
      <c r="B84" s="1">
        <v>45156</v>
      </c>
      <c r="C84" t="s">
        <v>101</v>
      </c>
      <c r="D84">
        <v>750</v>
      </c>
      <c r="G84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4" s="6" t="s">
        <v>88</v>
      </c>
      <c r="I84" s="1">
        <f>BancosMesclados[[#This Row],[Data]]</f>
        <v>45156</v>
      </c>
      <c r="J84" t="s">
        <v>91</v>
      </c>
      <c r="K84" t="s">
        <v>93</v>
      </c>
      <c r="L84" s="6" t="s">
        <v>94</v>
      </c>
      <c r="M84" s="6">
        <f>BancosMesclados[[#This Row],[Lançamento]]</f>
        <v>750</v>
      </c>
      <c r="N84" t="str">
        <f>MID(BancosMesclados[[#This Row],[CodCliente]],1,SEARCH("_",BancosMesclados[[#This Row],[CodCliente]])-1)</f>
        <v>Santander</v>
      </c>
      <c r="O84" s="6"/>
      <c r="P84" s="6"/>
      <c r="Q84" s="6"/>
    </row>
    <row r="85" spans="1:17" x14ac:dyDescent="0.4">
      <c r="A85" s="23" t="s">
        <v>133</v>
      </c>
      <c r="B85" s="1">
        <v>45156</v>
      </c>
      <c r="C85" t="s">
        <v>101</v>
      </c>
      <c r="D85">
        <v>2000</v>
      </c>
      <c r="G85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5" s="6" t="s">
        <v>88</v>
      </c>
      <c r="I85" s="1">
        <f>BancosMesclados[[#This Row],[Data]]</f>
        <v>45156</v>
      </c>
      <c r="J85" t="s">
        <v>91</v>
      </c>
      <c r="K85" t="s">
        <v>93</v>
      </c>
      <c r="L85" s="6" t="s">
        <v>94</v>
      </c>
      <c r="M85" s="6">
        <f>BancosMesclados[[#This Row],[Lançamento]]</f>
        <v>2000</v>
      </c>
      <c r="N85" t="str">
        <f>MID(BancosMesclados[[#This Row],[CodCliente]],1,SEARCH("_",BancosMesclados[[#This Row],[CodCliente]])-1)</f>
        <v>Santander</v>
      </c>
      <c r="O85" s="6"/>
      <c r="P85" s="6"/>
      <c r="Q85" s="6"/>
    </row>
    <row r="86" spans="1:17" x14ac:dyDescent="0.4">
      <c r="A86" s="23" t="s">
        <v>133</v>
      </c>
      <c r="B86" s="1">
        <v>45155</v>
      </c>
      <c r="C86" t="s">
        <v>106</v>
      </c>
      <c r="D86">
        <v>-34.9</v>
      </c>
      <c r="G86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6" s="6" t="s">
        <v>88</v>
      </c>
      <c r="I86" s="1">
        <f>BancosMesclados[[#This Row],[Data]]</f>
        <v>45155</v>
      </c>
      <c r="J86" t="s">
        <v>42</v>
      </c>
      <c r="K86" t="s">
        <v>39</v>
      </c>
      <c r="L86" s="6" t="s">
        <v>157</v>
      </c>
      <c r="M86" s="6">
        <f>BancosMesclados[[#This Row],[Lançamento]]</f>
        <v>-34.9</v>
      </c>
      <c r="N86" t="str">
        <f>MID(BancosMesclados[[#This Row],[CodCliente]],1,SEARCH("_",BancosMesclados[[#This Row],[CodCliente]])-1)</f>
        <v>Santander</v>
      </c>
      <c r="O86" s="6"/>
      <c r="P86" s="6"/>
      <c r="Q86" s="6"/>
    </row>
    <row r="87" spans="1:17" x14ac:dyDescent="0.4">
      <c r="A87" s="23" t="s">
        <v>133</v>
      </c>
      <c r="B87" s="1">
        <v>45155</v>
      </c>
      <c r="C87" t="s">
        <v>107</v>
      </c>
      <c r="D87">
        <v>-212.62</v>
      </c>
      <c r="G87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7" s="6" t="s">
        <v>88</v>
      </c>
      <c r="I87" s="1">
        <f>BancosMesclados[[#This Row],[Data]]</f>
        <v>45155</v>
      </c>
      <c r="J87" t="s">
        <v>43</v>
      </c>
      <c r="K87" t="s">
        <v>44</v>
      </c>
      <c r="L87" s="6" t="s">
        <v>158</v>
      </c>
      <c r="M87" s="6">
        <f>BancosMesclados[[#This Row],[Lançamento]]</f>
        <v>-212.62</v>
      </c>
      <c r="N87" t="str">
        <f>MID(BancosMesclados[[#This Row],[CodCliente]],1,SEARCH("_",BancosMesclados[[#This Row],[CodCliente]])-1)</f>
        <v>Santander</v>
      </c>
      <c r="O87" s="6"/>
      <c r="P87" s="6"/>
      <c r="Q87" s="6"/>
    </row>
    <row r="88" spans="1:17" x14ac:dyDescent="0.4">
      <c r="A88" s="23" t="s">
        <v>133</v>
      </c>
      <c r="B88" s="1">
        <v>45153</v>
      </c>
      <c r="C88" t="s">
        <v>108</v>
      </c>
      <c r="D88">
        <v>-24.89</v>
      </c>
      <c r="G88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8" s="6" t="s">
        <v>88</v>
      </c>
      <c r="I88" s="1">
        <f>BancosMesclados[[#This Row],[Data]]</f>
        <v>45153</v>
      </c>
      <c r="J88" t="s">
        <v>73</v>
      </c>
      <c r="K88" t="s">
        <v>18</v>
      </c>
      <c r="L88" s="6" t="s">
        <v>156</v>
      </c>
      <c r="M88" s="6">
        <f>BancosMesclados[[#This Row],[Lançamento]]</f>
        <v>-24.89</v>
      </c>
      <c r="N88" t="str">
        <f>MID(BancosMesclados[[#This Row],[CodCliente]],1,SEARCH("_",BancosMesclados[[#This Row],[CodCliente]])-1)</f>
        <v>Santander</v>
      </c>
      <c r="O88" s="6"/>
      <c r="P88" s="6"/>
      <c r="Q88" s="6"/>
    </row>
    <row r="89" spans="1:17" x14ac:dyDescent="0.4">
      <c r="A89" s="23" t="s">
        <v>133</v>
      </c>
      <c r="B89" s="1">
        <v>45152</v>
      </c>
      <c r="C89" t="s">
        <v>109</v>
      </c>
      <c r="D89">
        <v>-110</v>
      </c>
      <c r="G89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89" s="6" t="s">
        <v>88</v>
      </c>
      <c r="I89" s="1">
        <f>BancosMesclados[[#This Row],[Data]]</f>
        <v>45152</v>
      </c>
      <c r="J89" t="s">
        <v>55</v>
      </c>
      <c r="K89" t="s">
        <v>51</v>
      </c>
      <c r="L89" s="6" t="s">
        <v>156</v>
      </c>
      <c r="M89" s="6">
        <f>BancosMesclados[[#This Row],[Lançamento]]</f>
        <v>-110</v>
      </c>
      <c r="N89" t="str">
        <f>MID(BancosMesclados[[#This Row],[CodCliente]],1,SEARCH("_",BancosMesclados[[#This Row],[CodCliente]])-1)</f>
        <v>Santander</v>
      </c>
      <c r="O89" s="6"/>
      <c r="P89" s="6"/>
      <c r="Q89" s="6"/>
    </row>
    <row r="90" spans="1:17" x14ac:dyDescent="0.4">
      <c r="A90" s="23" t="s">
        <v>133</v>
      </c>
      <c r="B90" s="1">
        <v>45149</v>
      </c>
      <c r="C90" t="s">
        <v>101</v>
      </c>
      <c r="D90">
        <v>1260</v>
      </c>
      <c r="G90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90" s="6" t="s">
        <v>88</v>
      </c>
      <c r="I90" s="1">
        <f>BancosMesclados[[#This Row],[Data]]</f>
        <v>45149</v>
      </c>
      <c r="J90" t="s">
        <v>91</v>
      </c>
      <c r="K90" t="s">
        <v>93</v>
      </c>
      <c r="L90" s="6" t="s">
        <v>94</v>
      </c>
      <c r="M90" s="6">
        <f>BancosMesclados[[#This Row],[Lançamento]]</f>
        <v>1260</v>
      </c>
      <c r="N90" t="str">
        <f>MID(BancosMesclados[[#This Row],[CodCliente]],1,SEARCH("_",BancosMesclados[[#This Row],[CodCliente]])-1)</f>
        <v>Santander</v>
      </c>
      <c r="O90" s="6"/>
      <c r="P90" s="6"/>
      <c r="Q90" s="6"/>
    </row>
    <row r="91" spans="1:17" x14ac:dyDescent="0.4">
      <c r="A91" s="23" t="s">
        <v>133</v>
      </c>
      <c r="B91" s="1">
        <v>45148</v>
      </c>
      <c r="C91" t="s">
        <v>110</v>
      </c>
      <c r="D91">
        <v>-500</v>
      </c>
      <c r="G91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91" s="6" t="s">
        <v>88</v>
      </c>
      <c r="I91" s="1">
        <f>BancosMesclados[[#This Row],[Data]]</f>
        <v>45148</v>
      </c>
      <c r="J91" t="s">
        <v>55</v>
      </c>
      <c r="K91" t="s">
        <v>51</v>
      </c>
      <c r="L91" s="6" t="s">
        <v>156</v>
      </c>
      <c r="M91" s="6">
        <f>BancosMesclados[[#This Row],[Lançamento]]</f>
        <v>-500</v>
      </c>
      <c r="N91" t="str">
        <f>MID(BancosMesclados[[#This Row],[CodCliente]],1,SEARCH("_",BancosMesclados[[#This Row],[CodCliente]])-1)</f>
        <v>Santander</v>
      </c>
      <c r="O91" s="6"/>
      <c r="P91" s="6"/>
      <c r="Q91" s="6"/>
    </row>
    <row r="92" spans="1:17" x14ac:dyDescent="0.4">
      <c r="A92" s="23" t="s">
        <v>133</v>
      </c>
      <c r="B92" s="1">
        <v>45148</v>
      </c>
      <c r="C92" t="s">
        <v>101</v>
      </c>
      <c r="D92">
        <v>500</v>
      </c>
      <c r="G92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92" s="6" t="s">
        <v>88</v>
      </c>
      <c r="I92" s="1">
        <f>BancosMesclados[[#This Row],[Data]]</f>
        <v>45148</v>
      </c>
      <c r="J92" t="s">
        <v>91</v>
      </c>
      <c r="K92" t="s">
        <v>93</v>
      </c>
      <c r="L92" s="6" t="s">
        <v>94</v>
      </c>
      <c r="M92" s="6">
        <f>BancosMesclados[[#This Row],[Lançamento]]</f>
        <v>500</v>
      </c>
      <c r="N92" t="str">
        <f>MID(BancosMesclados[[#This Row],[CodCliente]],1,SEARCH("_",BancosMesclados[[#This Row],[CodCliente]])-1)</f>
        <v>Santander</v>
      </c>
      <c r="O92" s="6"/>
      <c r="P92" s="6"/>
      <c r="Q92" s="6"/>
    </row>
    <row r="93" spans="1:17" x14ac:dyDescent="0.4">
      <c r="A93" s="23" t="s">
        <v>133</v>
      </c>
      <c r="B93" s="1">
        <v>45147</v>
      </c>
      <c r="C93" t="s">
        <v>111</v>
      </c>
      <c r="D93">
        <v>64</v>
      </c>
      <c r="G93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93" s="6" t="s">
        <v>88</v>
      </c>
      <c r="I93" s="1">
        <f>BancosMesclados[[#This Row],[Data]]</f>
        <v>45147</v>
      </c>
      <c r="J93" t="s">
        <v>91</v>
      </c>
      <c r="K93" t="s">
        <v>93</v>
      </c>
      <c r="L93" s="6" t="s">
        <v>94</v>
      </c>
      <c r="M93" s="6">
        <f>BancosMesclados[[#This Row],[Lançamento]]</f>
        <v>64</v>
      </c>
      <c r="N93" t="str">
        <f>MID(BancosMesclados[[#This Row],[CodCliente]],1,SEARCH("_",BancosMesclados[[#This Row],[CodCliente]])-1)</f>
        <v>Santander</v>
      </c>
      <c r="O93" s="6"/>
      <c r="P93" s="6"/>
      <c r="Q93" s="6"/>
    </row>
    <row r="94" spans="1:17" x14ac:dyDescent="0.4">
      <c r="A94" s="23" t="s">
        <v>133</v>
      </c>
      <c r="B94" s="1">
        <v>45147</v>
      </c>
      <c r="C94" t="s">
        <v>112</v>
      </c>
      <c r="D94">
        <v>-64</v>
      </c>
      <c r="G94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94" s="6" t="s">
        <v>88</v>
      </c>
      <c r="I94" s="1">
        <f>BancosMesclados[[#This Row],[Data]]</f>
        <v>45147</v>
      </c>
      <c r="J94" t="s">
        <v>55</v>
      </c>
      <c r="K94" t="s">
        <v>51</v>
      </c>
      <c r="L94" s="6" t="s">
        <v>156</v>
      </c>
      <c r="M94" s="6">
        <f>BancosMesclados[[#This Row],[Lançamento]]</f>
        <v>-64</v>
      </c>
      <c r="N94" t="str">
        <f>MID(BancosMesclados[[#This Row],[CodCliente]],1,SEARCH("_",BancosMesclados[[#This Row],[CodCliente]])-1)</f>
        <v>Santander</v>
      </c>
      <c r="O94" s="6"/>
      <c r="P94" s="6"/>
      <c r="Q94" s="6"/>
    </row>
    <row r="95" spans="1:17" x14ac:dyDescent="0.4">
      <c r="A95" s="23" t="s">
        <v>133</v>
      </c>
      <c r="B95" s="1">
        <v>45147</v>
      </c>
      <c r="C95" t="s">
        <v>113</v>
      </c>
      <c r="D95">
        <v>-57.45</v>
      </c>
      <c r="G95" s="6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95" s="6" t="s">
        <v>88</v>
      </c>
      <c r="I95" s="1">
        <f>BancosMesclados[[#This Row],[Data]]</f>
        <v>45147</v>
      </c>
      <c r="J95" t="s">
        <v>47</v>
      </c>
      <c r="K95" t="s">
        <v>44</v>
      </c>
      <c r="L95" s="6" t="s">
        <v>178</v>
      </c>
      <c r="M95" s="6">
        <f>BancosMesclados[[#This Row],[Lançamento]]</f>
        <v>-57.45</v>
      </c>
      <c r="N95" t="str">
        <f>MID(BancosMesclados[[#This Row],[CodCliente]],1,SEARCH("_",BancosMesclados[[#This Row],[CodCliente]])-1)</f>
        <v>Santander</v>
      </c>
      <c r="O95" s="6"/>
      <c r="P95" s="6"/>
      <c r="Q95" s="6"/>
    </row>
    <row r="96" spans="1:17" x14ac:dyDescent="0.4">
      <c r="A96" s="23" t="s">
        <v>134</v>
      </c>
      <c r="B96" s="1">
        <v>45160</v>
      </c>
      <c r="C96" t="s">
        <v>114</v>
      </c>
      <c r="D96">
        <v>190</v>
      </c>
      <c r="G96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96" s="6" t="s">
        <v>159</v>
      </c>
      <c r="I96" s="1">
        <f>BancosMesclados[[#This Row],[Data]]</f>
        <v>45160</v>
      </c>
      <c r="J96" t="s">
        <v>55</v>
      </c>
      <c r="K96" t="s">
        <v>51</v>
      </c>
      <c r="L96" s="6" t="s">
        <v>156</v>
      </c>
      <c r="M96" s="6">
        <f>BancosMesclados[[#This Row],[Lançamento]]</f>
        <v>190</v>
      </c>
      <c r="N96" t="str">
        <f>MID(BancosMesclados[[#This Row],[CodCliente]],1,SEARCH("_",BancosMesclados[[#This Row],[CodCliente]])-1)</f>
        <v>Itau</v>
      </c>
      <c r="O96" s="6"/>
      <c r="P96" s="6"/>
      <c r="Q96" s="6"/>
    </row>
    <row r="97" spans="1:17" x14ac:dyDescent="0.4">
      <c r="A97" s="23" t="s">
        <v>134</v>
      </c>
      <c r="B97" s="1">
        <v>45159</v>
      </c>
      <c r="C97" t="s">
        <v>115</v>
      </c>
      <c r="D97">
        <v>424.12</v>
      </c>
      <c r="G97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97" s="6" t="s">
        <v>159</v>
      </c>
      <c r="I97" s="1">
        <f>BancosMesclados[[#This Row],[Data]]</f>
        <v>45159</v>
      </c>
      <c r="J97" t="s">
        <v>92</v>
      </c>
      <c r="K97" t="s">
        <v>93</v>
      </c>
      <c r="L97" s="6" t="s">
        <v>95</v>
      </c>
      <c r="M97" s="6">
        <f>BancosMesclados[[#This Row],[Lançamento]]</f>
        <v>424.12</v>
      </c>
      <c r="N97" t="str">
        <f>MID(BancosMesclados[[#This Row],[CodCliente]],1,SEARCH("_",BancosMesclados[[#This Row],[CodCliente]])-1)</f>
        <v>Itau</v>
      </c>
      <c r="O97" s="6"/>
      <c r="P97" s="6"/>
      <c r="Q97" s="6"/>
    </row>
    <row r="98" spans="1:17" x14ac:dyDescent="0.4">
      <c r="A98" s="23" t="s">
        <v>134</v>
      </c>
      <c r="B98" s="1">
        <v>45159</v>
      </c>
      <c r="C98" t="s">
        <v>116</v>
      </c>
      <c r="D98">
        <v>-167.75</v>
      </c>
      <c r="G98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98" s="6" t="s">
        <v>159</v>
      </c>
      <c r="I98" s="1">
        <f>BancosMesclados[[#This Row],[Data]]</f>
        <v>45159</v>
      </c>
      <c r="J98" t="s">
        <v>43</v>
      </c>
      <c r="K98" t="s">
        <v>44</v>
      </c>
      <c r="L98" s="6" t="s">
        <v>158</v>
      </c>
      <c r="M98" s="6">
        <f>BancosMesclados[[#This Row],[Lançamento]]</f>
        <v>-167.75</v>
      </c>
      <c r="N98" t="str">
        <f>MID(BancosMesclados[[#This Row],[CodCliente]],1,SEARCH("_",BancosMesclados[[#This Row],[CodCliente]])-1)</f>
        <v>Itau</v>
      </c>
      <c r="O98" s="6"/>
      <c r="P98" s="6"/>
      <c r="Q98" s="6"/>
    </row>
    <row r="99" spans="1:17" x14ac:dyDescent="0.4">
      <c r="A99" s="23" t="s">
        <v>134</v>
      </c>
      <c r="B99" s="1">
        <v>45159</v>
      </c>
      <c r="C99" t="s">
        <v>117</v>
      </c>
      <c r="D99">
        <v>-91.66</v>
      </c>
      <c r="G99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99" s="6" t="s">
        <v>159</v>
      </c>
      <c r="I99" s="1">
        <f>BancosMesclados[[#This Row],[Data]]</f>
        <v>45159</v>
      </c>
      <c r="J99" t="s">
        <v>43</v>
      </c>
      <c r="K99" t="s">
        <v>44</v>
      </c>
      <c r="L99" s="6" t="s">
        <v>158</v>
      </c>
      <c r="M99" s="6">
        <f>BancosMesclados[[#This Row],[Lançamento]]</f>
        <v>-91.66</v>
      </c>
      <c r="N99" t="str">
        <f>MID(BancosMesclados[[#This Row],[CodCliente]],1,SEARCH("_",BancosMesclados[[#This Row],[CodCliente]])-1)</f>
        <v>Itau</v>
      </c>
      <c r="O99" s="6"/>
      <c r="P99" s="6"/>
      <c r="Q99" s="6"/>
    </row>
    <row r="100" spans="1:17" x14ac:dyDescent="0.4">
      <c r="A100" s="23" t="s">
        <v>134</v>
      </c>
      <c r="B100" s="1">
        <v>45159</v>
      </c>
      <c r="C100" t="s">
        <v>118</v>
      </c>
      <c r="D100">
        <v>-164.71</v>
      </c>
      <c r="G100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0" s="6" t="s">
        <v>159</v>
      </c>
      <c r="I100" s="1">
        <f>BancosMesclados[[#This Row],[Data]]</f>
        <v>45159</v>
      </c>
      <c r="J100" t="s">
        <v>43</v>
      </c>
      <c r="K100" t="s">
        <v>44</v>
      </c>
      <c r="L100" s="6" t="s">
        <v>158</v>
      </c>
      <c r="M100" s="6">
        <f>BancosMesclados[[#This Row],[Lançamento]]</f>
        <v>-164.71</v>
      </c>
      <c r="N100" t="str">
        <f>MID(BancosMesclados[[#This Row],[CodCliente]],1,SEARCH("_",BancosMesclados[[#This Row],[CodCliente]])-1)</f>
        <v>Itau</v>
      </c>
      <c r="O100" s="6"/>
      <c r="P100" s="6"/>
      <c r="Q100" s="6"/>
    </row>
    <row r="101" spans="1:17" x14ac:dyDescent="0.4">
      <c r="A101" s="23" t="s">
        <v>134</v>
      </c>
      <c r="B101" s="1">
        <v>45156</v>
      </c>
      <c r="C101" t="s">
        <v>119</v>
      </c>
      <c r="D101">
        <v>-7635.2</v>
      </c>
      <c r="G101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1" s="6" t="s">
        <v>159</v>
      </c>
      <c r="I101" s="1">
        <f>BancosMesclados[[#This Row],[Data]]</f>
        <v>45156</v>
      </c>
      <c r="J101" t="s">
        <v>49</v>
      </c>
      <c r="K101" t="s">
        <v>44</v>
      </c>
      <c r="L101" s="6" t="s">
        <v>156</v>
      </c>
      <c r="M101" s="6">
        <f>BancosMesclados[[#This Row],[Lançamento]]</f>
        <v>-7635.2</v>
      </c>
      <c r="N101" t="str">
        <f>MID(BancosMesclados[[#This Row],[CodCliente]],1,SEARCH("_",BancosMesclados[[#This Row],[CodCliente]])-1)</f>
        <v>Itau</v>
      </c>
      <c r="O101" s="6"/>
      <c r="P101" s="6"/>
      <c r="Q101" s="6"/>
    </row>
    <row r="102" spans="1:17" x14ac:dyDescent="0.4">
      <c r="A102" s="23" t="s">
        <v>134</v>
      </c>
      <c r="B102" s="1">
        <v>45153</v>
      </c>
      <c r="C102" t="s">
        <v>120</v>
      </c>
      <c r="D102">
        <v>-154.33000000000001</v>
      </c>
      <c r="G102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2" s="6" t="s">
        <v>159</v>
      </c>
      <c r="I102" s="1">
        <f>BancosMesclados[[#This Row],[Data]]</f>
        <v>45153</v>
      </c>
      <c r="J102" t="s">
        <v>73</v>
      </c>
      <c r="K102" t="s">
        <v>18</v>
      </c>
      <c r="L102" s="6" t="s">
        <v>156</v>
      </c>
      <c r="M102" s="6">
        <f>BancosMesclados[[#This Row],[Lançamento]]</f>
        <v>-154.33000000000001</v>
      </c>
      <c r="N102" t="str">
        <f>MID(BancosMesclados[[#This Row],[CodCliente]],1,SEARCH("_",BancosMesclados[[#This Row],[CodCliente]])-1)</f>
        <v>Itau</v>
      </c>
      <c r="O102" s="6"/>
      <c r="P102" s="6"/>
      <c r="Q102" s="6"/>
    </row>
    <row r="103" spans="1:17" x14ac:dyDescent="0.4">
      <c r="A103" s="23" t="s">
        <v>134</v>
      </c>
      <c r="B103" s="1">
        <v>45149</v>
      </c>
      <c r="C103" t="s">
        <v>121</v>
      </c>
      <c r="D103">
        <v>380</v>
      </c>
      <c r="G103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3" s="6" t="s">
        <v>159</v>
      </c>
      <c r="I103" s="1">
        <f>BancosMesclados[[#This Row],[Data]]</f>
        <v>45149</v>
      </c>
      <c r="J103" t="s">
        <v>92</v>
      </c>
      <c r="K103" t="s">
        <v>93</v>
      </c>
      <c r="L103" s="6" t="s">
        <v>95</v>
      </c>
      <c r="M103" s="6">
        <f>BancosMesclados[[#This Row],[Lançamento]]</f>
        <v>380</v>
      </c>
      <c r="N103" t="str">
        <f>MID(BancosMesclados[[#This Row],[CodCliente]],1,SEARCH("_",BancosMesclados[[#This Row],[CodCliente]])-1)</f>
        <v>Itau</v>
      </c>
      <c r="O103" s="6"/>
      <c r="P103" s="6"/>
      <c r="Q103" s="6"/>
    </row>
    <row r="104" spans="1:17" x14ac:dyDescent="0.4">
      <c r="A104" s="23" t="s">
        <v>134</v>
      </c>
      <c r="B104" s="1">
        <v>45148</v>
      </c>
      <c r="C104" t="s">
        <v>122</v>
      </c>
      <c r="D104">
        <v>-3016</v>
      </c>
      <c r="G104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4" s="6" t="s">
        <v>159</v>
      </c>
      <c r="I104" s="1">
        <f>BancosMesclados[[#This Row],[Data]]</f>
        <v>45148</v>
      </c>
      <c r="J104" t="s">
        <v>55</v>
      </c>
      <c r="K104" t="s">
        <v>51</v>
      </c>
      <c r="L104" s="6" t="s">
        <v>156</v>
      </c>
      <c r="M104" s="6">
        <f>BancosMesclados[[#This Row],[Lançamento]]</f>
        <v>-3016</v>
      </c>
      <c r="N104" t="str">
        <f>MID(BancosMesclados[[#This Row],[CodCliente]],1,SEARCH("_",BancosMesclados[[#This Row],[CodCliente]])-1)</f>
        <v>Itau</v>
      </c>
      <c r="O104" s="6"/>
      <c r="P104" s="6"/>
      <c r="Q104" s="6"/>
    </row>
    <row r="105" spans="1:17" x14ac:dyDescent="0.4">
      <c r="A105" s="23" t="s">
        <v>134</v>
      </c>
      <c r="B105" s="1">
        <v>45148</v>
      </c>
      <c r="C105" t="s">
        <v>123</v>
      </c>
      <c r="D105">
        <v>-900</v>
      </c>
      <c r="G105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5" s="6" t="s">
        <v>159</v>
      </c>
      <c r="I105" s="1">
        <f>BancosMesclados[[#This Row],[Data]]</f>
        <v>45148</v>
      </c>
      <c r="J105" t="s">
        <v>75</v>
      </c>
      <c r="K105" t="s">
        <v>18</v>
      </c>
      <c r="L105" s="6" t="s">
        <v>96</v>
      </c>
      <c r="M105" s="6">
        <f>BancosMesclados[[#This Row],[Lançamento]]</f>
        <v>-900</v>
      </c>
      <c r="N105" t="str">
        <f>MID(BancosMesclados[[#This Row],[CodCliente]],1,SEARCH("_",BancosMesclados[[#This Row],[CodCliente]])-1)</f>
        <v>Itau</v>
      </c>
      <c r="O105" s="6"/>
      <c r="P105" s="6"/>
      <c r="Q105" s="6"/>
    </row>
    <row r="106" spans="1:17" x14ac:dyDescent="0.4">
      <c r="A106" s="23" t="s">
        <v>134</v>
      </c>
      <c r="B106" s="1">
        <v>45147</v>
      </c>
      <c r="C106" t="s">
        <v>124</v>
      </c>
      <c r="D106">
        <v>-3877.76</v>
      </c>
      <c r="G106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6" s="6" t="s">
        <v>159</v>
      </c>
      <c r="I106" s="1">
        <f>BancosMesclados[[#This Row],[Data]]</f>
        <v>45147</v>
      </c>
      <c r="J106" t="s">
        <v>41</v>
      </c>
      <c r="K106" t="s">
        <v>39</v>
      </c>
      <c r="L106" s="6" t="s">
        <v>158</v>
      </c>
      <c r="M106" s="6">
        <f>BancosMesclados[[#This Row],[Lançamento]]</f>
        <v>-3877.76</v>
      </c>
      <c r="N106" t="str">
        <f>MID(BancosMesclados[[#This Row],[CodCliente]],1,SEARCH("_",BancosMesclados[[#This Row],[CodCliente]])-1)</f>
        <v>Itau</v>
      </c>
      <c r="O106" s="6"/>
      <c r="P106" s="6"/>
      <c r="Q106" s="6"/>
    </row>
    <row r="107" spans="1:17" x14ac:dyDescent="0.4">
      <c r="A107" s="23" t="s">
        <v>134</v>
      </c>
      <c r="B107" s="1">
        <v>45147</v>
      </c>
      <c r="C107" t="s">
        <v>125</v>
      </c>
      <c r="D107">
        <v>-13416.77</v>
      </c>
      <c r="G107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7" s="6" t="s">
        <v>159</v>
      </c>
      <c r="I107" s="1">
        <f>BancosMesclados[[#This Row],[Data]]</f>
        <v>45147</v>
      </c>
      <c r="J107" t="s">
        <v>15</v>
      </c>
      <c r="K107" t="s">
        <v>16</v>
      </c>
      <c r="L107" s="6" t="s">
        <v>155</v>
      </c>
      <c r="M107" s="6">
        <f>BancosMesclados[[#This Row],[Lançamento]]</f>
        <v>-13416.77</v>
      </c>
      <c r="N107" t="str">
        <f>MID(BancosMesclados[[#This Row],[CodCliente]],1,SEARCH("_",BancosMesclados[[#This Row],[CodCliente]])-1)</f>
        <v>Itau</v>
      </c>
      <c r="O107" s="6"/>
      <c r="P107" s="6"/>
      <c r="Q107" s="6"/>
    </row>
    <row r="108" spans="1:17" x14ac:dyDescent="0.4">
      <c r="A108" s="23" t="s">
        <v>134</v>
      </c>
      <c r="B108" s="1">
        <v>45147</v>
      </c>
      <c r="C108" t="s">
        <v>126</v>
      </c>
      <c r="D108">
        <v>-8186</v>
      </c>
      <c r="G108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8" s="6" t="s">
        <v>159</v>
      </c>
      <c r="I108" s="1">
        <f>BancosMesclados[[#This Row],[Data]]</f>
        <v>45147</v>
      </c>
      <c r="J108" t="s">
        <v>15</v>
      </c>
      <c r="K108" t="s">
        <v>16</v>
      </c>
      <c r="L108" s="6" t="s">
        <v>155</v>
      </c>
      <c r="M108" s="6">
        <f>BancosMesclados[[#This Row],[Lançamento]]</f>
        <v>-8186</v>
      </c>
      <c r="N108" t="str">
        <f>MID(BancosMesclados[[#This Row],[CodCliente]],1,SEARCH("_",BancosMesclados[[#This Row],[CodCliente]])-1)</f>
        <v>Itau</v>
      </c>
      <c r="O108" s="6"/>
      <c r="P108" s="6"/>
      <c r="Q108" s="6"/>
    </row>
    <row r="109" spans="1:17" x14ac:dyDescent="0.4">
      <c r="A109" s="23" t="s">
        <v>134</v>
      </c>
      <c r="B109" s="1">
        <v>45147</v>
      </c>
      <c r="C109" t="s">
        <v>127</v>
      </c>
      <c r="D109">
        <v>-5604.94</v>
      </c>
      <c r="G109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09" s="6" t="s">
        <v>159</v>
      </c>
      <c r="I109" s="1">
        <f>BancosMesclados[[#This Row],[Data]]</f>
        <v>45147</v>
      </c>
      <c r="J109" t="s">
        <v>15</v>
      </c>
      <c r="K109" t="s">
        <v>16</v>
      </c>
      <c r="L109" s="6" t="s">
        <v>155</v>
      </c>
      <c r="M109" s="6">
        <f>BancosMesclados[[#This Row],[Lançamento]]</f>
        <v>-5604.94</v>
      </c>
      <c r="N109" t="str">
        <f>MID(BancosMesclados[[#This Row],[CodCliente]],1,SEARCH("_",BancosMesclados[[#This Row],[CodCliente]])-1)</f>
        <v>Itau</v>
      </c>
      <c r="O109" s="6"/>
      <c r="P109" s="6"/>
      <c r="Q109" s="6"/>
    </row>
    <row r="110" spans="1:17" x14ac:dyDescent="0.4">
      <c r="A110" s="23" t="s">
        <v>134</v>
      </c>
      <c r="B110" s="1">
        <v>45147</v>
      </c>
      <c r="C110" t="s">
        <v>128</v>
      </c>
      <c r="D110">
        <v>35000</v>
      </c>
      <c r="G110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10" s="6" t="s">
        <v>159</v>
      </c>
      <c r="I110" s="1">
        <f>BancosMesclados[[#This Row],[Data]]</f>
        <v>45147</v>
      </c>
      <c r="J110" t="s">
        <v>17</v>
      </c>
      <c r="K110" t="s">
        <v>18</v>
      </c>
      <c r="L110" s="6" t="s">
        <v>87</v>
      </c>
      <c r="M110" s="6">
        <f>BancosMesclados[[#This Row],[Lançamento]]</f>
        <v>35000</v>
      </c>
      <c r="N110" t="str">
        <f>MID(BancosMesclados[[#This Row],[CodCliente]],1,SEARCH("_",BancosMesclados[[#This Row],[CodCliente]])-1)</f>
        <v>Itau</v>
      </c>
      <c r="O110" s="6"/>
      <c r="P110" s="6"/>
      <c r="Q110" s="6"/>
    </row>
    <row r="111" spans="1:17" x14ac:dyDescent="0.4">
      <c r="A111" s="23" t="s">
        <v>134</v>
      </c>
      <c r="B111" s="1">
        <v>45146</v>
      </c>
      <c r="C111" t="s">
        <v>129</v>
      </c>
      <c r="D111">
        <v>700</v>
      </c>
      <c r="G111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11" s="6" t="s">
        <v>159</v>
      </c>
      <c r="I111" s="1">
        <f>BancosMesclados[[#This Row],[Data]]</f>
        <v>45146</v>
      </c>
      <c r="J111" t="s">
        <v>92</v>
      </c>
      <c r="K111" t="s">
        <v>93</v>
      </c>
      <c r="L111" s="6" t="s">
        <v>95</v>
      </c>
      <c r="M111" s="6">
        <f>BancosMesclados[[#This Row],[Lançamento]]</f>
        <v>700</v>
      </c>
      <c r="N111" t="str">
        <f>MID(BancosMesclados[[#This Row],[CodCliente]],1,SEARCH("_",BancosMesclados[[#This Row],[CodCliente]])-1)</f>
        <v>Itau</v>
      </c>
      <c r="O111" s="6"/>
      <c r="P111" s="6"/>
      <c r="Q111" s="6"/>
    </row>
    <row r="112" spans="1:17" x14ac:dyDescent="0.4">
      <c r="A112" s="23" t="s">
        <v>134</v>
      </c>
      <c r="B112" s="1">
        <v>45145</v>
      </c>
      <c r="C112" t="s">
        <v>130</v>
      </c>
      <c r="D112">
        <v>-1000</v>
      </c>
      <c r="G112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12" s="6" t="s">
        <v>159</v>
      </c>
      <c r="I112" s="1">
        <f>BancosMesclados[[#This Row],[Data]]</f>
        <v>45145</v>
      </c>
      <c r="J112" t="s">
        <v>55</v>
      </c>
      <c r="K112" t="s">
        <v>51</v>
      </c>
      <c r="L112" s="6" t="s">
        <v>156</v>
      </c>
      <c r="M112" s="6">
        <f>BancosMesclados[[#This Row],[Lançamento]]</f>
        <v>-1000</v>
      </c>
      <c r="N112" t="str">
        <f>MID(BancosMesclados[[#This Row],[CodCliente]],1,SEARCH("_",BancosMesclados[[#This Row],[CodCliente]])-1)</f>
        <v>Itau</v>
      </c>
      <c r="O112" s="6"/>
      <c r="P112" s="6"/>
      <c r="Q112" s="6"/>
    </row>
    <row r="113" spans="1:17" x14ac:dyDescent="0.4">
      <c r="A113" s="23" t="s">
        <v>134</v>
      </c>
      <c r="B113" s="1">
        <v>45145</v>
      </c>
      <c r="C113" t="s">
        <v>131</v>
      </c>
      <c r="D113">
        <v>-536.25</v>
      </c>
      <c r="G113" s="6" t="str">
        <f>MID(BancosMesclados[[#This Row],[CodCliente]],SEARCH("_",BancosMesclados[[#This Row],[CodCliente]])+1,SEARCH(".",BancosMesclados[[#This Row],[CodCliente]])-SEARCH("_",BancosMesclados[[#This Row],[CodCliente]])-1)</f>
        <v>PJ006</v>
      </c>
      <c r="H113" s="6" t="s">
        <v>159</v>
      </c>
      <c r="I113" s="1">
        <f>BancosMesclados[[#This Row],[Data]]</f>
        <v>45145</v>
      </c>
      <c r="J113" t="s">
        <v>73</v>
      </c>
      <c r="K113" t="s">
        <v>18</v>
      </c>
      <c r="L113" s="6" t="s">
        <v>156</v>
      </c>
      <c r="M113" s="6">
        <f>BancosMesclados[[#This Row],[Lançamento]]</f>
        <v>-536.25</v>
      </c>
      <c r="N113" t="str">
        <f>MID(BancosMesclados[[#This Row],[CodCliente]],1,SEARCH("_",BancosMesclados[[#This Row],[CodCliente]])-1)</f>
        <v>Itau</v>
      </c>
      <c r="O113" s="6"/>
      <c r="P113" s="6"/>
      <c r="Q113" s="6"/>
    </row>
    <row r="114" spans="1:17" x14ac:dyDescent="0.4">
      <c r="A114" s="23" t="s">
        <v>181</v>
      </c>
      <c r="B114" s="1">
        <v>45296</v>
      </c>
      <c r="C114" t="s">
        <v>202</v>
      </c>
      <c r="D114">
        <v>2</v>
      </c>
      <c r="G114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14" s="6" t="s">
        <v>159</v>
      </c>
      <c r="I114" s="1">
        <f>BancosMesclados[[#This Row],[Data]]</f>
        <v>45296</v>
      </c>
      <c r="J114" t="s">
        <v>15</v>
      </c>
      <c r="K114" t="s">
        <v>16</v>
      </c>
      <c r="L114" s="6" t="s">
        <v>155</v>
      </c>
      <c r="M114" s="6">
        <v>2</v>
      </c>
      <c r="N114" t="str">
        <f>MID(BancosMesclados[[#This Row],[CodCliente]],1,SEARCH("_",BancosMesclados[[#This Row],[CodCliente]])-1)</f>
        <v>Itau</v>
      </c>
      <c r="O114" s="6"/>
      <c r="P114" s="6"/>
      <c r="Q114" s="6"/>
    </row>
    <row r="115" spans="1:17" x14ac:dyDescent="0.4">
      <c r="A115" s="23" t="s">
        <v>181</v>
      </c>
      <c r="B115" s="1">
        <v>45299</v>
      </c>
      <c r="C115" t="s">
        <v>202</v>
      </c>
      <c r="D115">
        <v>639.04999999999995</v>
      </c>
      <c r="G115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15" s="6" t="s">
        <v>159</v>
      </c>
      <c r="I115" s="1">
        <f>BancosMesclados[[#This Row],[Data]]</f>
        <v>45299</v>
      </c>
      <c r="J115" t="s">
        <v>75</v>
      </c>
      <c r="K115" t="s">
        <v>18</v>
      </c>
      <c r="L115" s="6" t="s">
        <v>96</v>
      </c>
      <c r="M115" s="6">
        <v>639.04999999999995</v>
      </c>
      <c r="N115" t="str">
        <f>MID(BancosMesclados[[#This Row],[CodCliente]],1,SEARCH("_",BancosMesclados[[#This Row],[CodCliente]])-1)</f>
        <v>Itau</v>
      </c>
      <c r="O115" s="6"/>
      <c r="P115" s="6"/>
      <c r="Q115" s="6"/>
    </row>
    <row r="116" spans="1:17" x14ac:dyDescent="0.4">
      <c r="A116" s="23" t="s">
        <v>181</v>
      </c>
      <c r="B116" s="1">
        <v>45299</v>
      </c>
      <c r="C116" t="s">
        <v>182</v>
      </c>
      <c r="D116">
        <v>105.74</v>
      </c>
      <c r="G116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16" s="6" t="s">
        <v>159</v>
      </c>
      <c r="I116" s="1">
        <f>BancosMesclados[[#This Row],[Data]]</f>
        <v>45299</v>
      </c>
      <c r="J116" t="s">
        <v>91</v>
      </c>
      <c r="K116" t="s">
        <v>93</v>
      </c>
      <c r="L116" s="6" t="s">
        <v>94</v>
      </c>
      <c r="M116" s="6">
        <v>105.74</v>
      </c>
      <c r="N116" t="str">
        <f>MID(BancosMesclados[[#This Row],[CodCliente]],1,SEARCH("_",BancosMesclados[[#This Row],[CodCliente]])-1)</f>
        <v>Itau</v>
      </c>
      <c r="O116" s="6"/>
      <c r="P116" s="6"/>
      <c r="Q116" s="6"/>
    </row>
    <row r="117" spans="1:17" x14ac:dyDescent="0.4">
      <c r="A117" s="23" t="s">
        <v>181</v>
      </c>
      <c r="B117" s="1">
        <v>45299</v>
      </c>
      <c r="C117" t="s">
        <v>183</v>
      </c>
      <c r="D117" s="29">
        <v>1252.6300000000001</v>
      </c>
      <c r="G117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17" s="6" t="s">
        <v>159</v>
      </c>
      <c r="I117" s="1">
        <f>BancosMesclados[[#This Row],[Data]]</f>
        <v>45299</v>
      </c>
      <c r="J117" t="s">
        <v>75</v>
      </c>
      <c r="K117" t="s">
        <v>18</v>
      </c>
      <c r="L117" s="6" t="s">
        <v>96</v>
      </c>
      <c r="M117" s="6">
        <v>1252.6300000000001</v>
      </c>
      <c r="N117" t="str">
        <f>MID(BancosMesclados[[#This Row],[CodCliente]],1,SEARCH("_",BancosMesclados[[#This Row],[CodCliente]])-1)</f>
        <v>Itau</v>
      </c>
      <c r="O117" s="6"/>
      <c r="P117" s="6"/>
      <c r="Q117" s="6"/>
    </row>
    <row r="118" spans="1:17" x14ac:dyDescent="0.4">
      <c r="A118" s="23" t="s">
        <v>181</v>
      </c>
      <c r="B118" s="1">
        <v>45299</v>
      </c>
      <c r="C118" t="s">
        <v>184</v>
      </c>
      <c r="D118">
        <v>593.25</v>
      </c>
      <c r="G118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18" s="6" t="s">
        <v>159</v>
      </c>
      <c r="I118" s="1">
        <f>BancosMesclados[[#This Row],[Data]]</f>
        <v>45299</v>
      </c>
      <c r="J118" t="s">
        <v>91</v>
      </c>
      <c r="K118" t="s">
        <v>93</v>
      </c>
      <c r="L118" s="6" t="s">
        <v>94</v>
      </c>
      <c r="M118" s="6">
        <v>593.25</v>
      </c>
      <c r="N118" t="str">
        <f>MID(BancosMesclados[[#This Row],[CodCliente]],1,SEARCH("_",BancosMesclados[[#This Row],[CodCliente]])-1)</f>
        <v>Itau</v>
      </c>
      <c r="O118" s="6"/>
      <c r="P118" s="6"/>
      <c r="Q118" s="6"/>
    </row>
    <row r="119" spans="1:17" x14ac:dyDescent="0.4">
      <c r="A119" s="23" t="s">
        <v>181</v>
      </c>
      <c r="B119" s="1">
        <v>45299</v>
      </c>
      <c r="C119" t="s">
        <v>185</v>
      </c>
      <c r="D119">
        <v>99</v>
      </c>
      <c r="G119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19" s="6" t="s">
        <v>159</v>
      </c>
      <c r="I119" s="1">
        <f>BancosMesclados[[#This Row],[Data]]</f>
        <v>45299</v>
      </c>
      <c r="J119" t="s">
        <v>91</v>
      </c>
      <c r="K119" t="s">
        <v>93</v>
      </c>
      <c r="L119" s="6" t="s">
        <v>94</v>
      </c>
      <c r="M119" s="6">
        <v>99</v>
      </c>
      <c r="N119" t="str">
        <f>MID(BancosMesclados[[#This Row],[CodCliente]],1,SEARCH("_",BancosMesclados[[#This Row],[CodCliente]])-1)</f>
        <v>Itau</v>
      </c>
      <c r="O119" s="6"/>
      <c r="P119" s="6"/>
      <c r="Q119" s="6"/>
    </row>
    <row r="120" spans="1:17" x14ac:dyDescent="0.4">
      <c r="A120" s="23" t="s">
        <v>181</v>
      </c>
      <c r="B120" s="1">
        <v>45299</v>
      </c>
      <c r="C120" t="s">
        <v>186</v>
      </c>
      <c r="D120">
        <v>20</v>
      </c>
      <c r="G120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0" s="6" t="s">
        <v>159</v>
      </c>
      <c r="I120" s="1">
        <f>BancosMesclados[[#This Row],[Data]]</f>
        <v>45299</v>
      </c>
      <c r="J120" t="s">
        <v>75</v>
      </c>
      <c r="K120" t="s">
        <v>18</v>
      </c>
      <c r="L120" s="6" t="s">
        <v>96</v>
      </c>
      <c r="M120" s="6">
        <v>20</v>
      </c>
      <c r="N120" t="str">
        <f>MID(BancosMesclados[[#This Row],[CodCliente]],1,SEARCH("_",BancosMesclados[[#This Row],[CodCliente]])-1)</f>
        <v>Itau</v>
      </c>
      <c r="O120" s="6"/>
      <c r="P120" s="6"/>
      <c r="Q120" s="6"/>
    </row>
    <row r="121" spans="1:17" x14ac:dyDescent="0.4">
      <c r="A121" s="23" t="s">
        <v>181</v>
      </c>
      <c r="B121" s="1">
        <v>45299</v>
      </c>
      <c r="C121" t="s">
        <v>187</v>
      </c>
      <c r="D121">
        <v>39</v>
      </c>
      <c r="G121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1" s="6" t="s">
        <v>159</v>
      </c>
      <c r="I121" s="1">
        <f>BancosMesclados[[#This Row],[Data]]</f>
        <v>45299</v>
      </c>
      <c r="J121" t="s">
        <v>75</v>
      </c>
      <c r="K121" t="s">
        <v>18</v>
      </c>
      <c r="L121" s="6" t="s">
        <v>96</v>
      </c>
      <c r="M121" s="6">
        <v>39</v>
      </c>
      <c r="N121" t="str">
        <f>MID(BancosMesclados[[#This Row],[CodCliente]],1,SEARCH("_",BancosMesclados[[#This Row],[CodCliente]])-1)</f>
        <v>Itau</v>
      </c>
      <c r="O121" s="6"/>
      <c r="P121" s="6"/>
      <c r="Q121" s="6"/>
    </row>
    <row r="122" spans="1:17" x14ac:dyDescent="0.4">
      <c r="A122" s="23" t="s">
        <v>181</v>
      </c>
      <c r="B122" s="1">
        <v>45300</v>
      </c>
      <c r="C122" t="s">
        <v>202</v>
      </c>
      <c r="D122">
        <v>113</v>
      </c>
      <c r="G122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2" s="6" t="s">
        <v>159</v>
      </c>
      <c r="I122" s="1">
        <f>BancosMesclados[[#This Row],[Data]]</f>
        <v>45300</v>
      </c>
      <c r="J122" t="s">
        <v>75</v>
      </c>
      <c r="K122" t="s">
        <v>18</v>
      </c>
      <c r="L122" s="6" t="s">
        <v>96</v>
      </c>
      <c r="M122" s="6">
        <v>113</v>
      </c>
      <c r="N122" t="str">
        <f>MID(BancosMesclados[[#This Row],[CodCliente]],1,SEARCH("_",BancosMesclados[[#This Row],[CodCliente]])-1)</f>
        <v>Itau</v>
      </c>
      <c r="O122" s="6"/>
      <c r="P122" s="6"/>
      <c r="Q122" s="6"/>
    </row>
    <row r="123" spans="1:17" x14ac:dyDescent="0.4">
      <c r="A123" s="23" t="s">
        <v>181</v>
      </c>
      <c r="B123" s="1">
        <v>45300</v>
      </c>
      <c r="C123" t="s">
        <v>183</v>
      </c>
      <c r="D123">
        <v>402.73</v>
      </c>
      <c r="G123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3" s="6" t="s">
        <v>159</v>
      </c>
      <c r="I123" s="1">
        <f>BancosMesclados[[#This Row],[Data]]</f>
        <v>45300</v>
      </c>
      <c r="J123" t="s">
        <v>55</v>
      </c>
      <c r="K123" t="s">
        <v>51</v>
      </c>
      <c r="L123" s="6" t="s">
        <v>156</v>
      </c>
      <c r="M123" s="6">
        <v>402.73</v>
      </c>
      <c r="N123" t="str">
        <f>MID(BancosMesclados[[#This Row],[CodCliente]],1,SEARCH("_",BancosMesclados[[#This Row],[CodCliente]])-1)</f>
        <v>Itau</v>
      </c>
      <c r="O123" s="6"/>
      <c r="P123" s="6"/>
      <c r="Q123" s="6"/>
    </row>
    <row r="124" spans="1:17" x14ac:dyDescent="0.4">
      <c r="A124" s="23" t="s">
        <v>181</v>
      </c>
      <c r="B124" s="1">
        <v>45300</v>
      </c>
      <c r="C124" t="s">
        <v>184</v>
      </c>
      <c r="D124">
        <v>68.11</v>
      </c>
      <c r="G124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4" s="6" t="s">
        <v>159</v>
      </c>
      <c r="I124" s="1">
        <f>BancosMesclados[[#This Row],[Data]]</f>
        <v>45300</v>
      </c>
      <c r="J124" t="s">
        <v>91</v>
      </c>
      <c r="K124" t="s">
        <v>93</v>
      </c>
      <c r="L124" s="6" t="s">
        <v>94</v>
      </c>
      <c r="M124" s="6">
        <v>68.11</v>
      </c>
      <c r="N124" t="str">
        <f>MID(BancosMesclados[[#This Row],[CodCliente]],1,SEARCH("_",BancosMesclados[[#This Row],[CodCliente]])-1)</f>
        <v>Itau</v>
      </c>
      <c r="O124" s="6"/>
      <c r="P124" s="6"/>
      <c r="Q124" s="6"/>
    </row>
    <row r="125" spans="1:17" x14ac:dyDescent="0.4">
      <c r="A125" s="23" t="s">
        <v>181</v>
      </c>
      <c r="B125" s="1">
        <v>45300</v>
      </c>
      <c r="C125" t="s">
        <v>188</v>
      </c>
      <c r="D125" s="29">
        <v>2304.16</v>
      </c>
      <c r="G125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5" s="6" t="s">
        <v>159</v>
      </c>
      <c r="I125" s="1">
        <f>BancosMesclados[[#This Row],[Data]]</f>
        <v>45300</v>
      </c>
      <c r="J125" t="s">
        <v>91</v>
      </c>
      <c r="K125" t="s">
        <v>93</v>
      </c>
      <c r="L125" s="6" t="s">
        <v>94</v>
      </c>
      <c r="M125" s="6">
        <v>2304.16</v>
      </c>
      <c r="N125" t="str">
        <f>MID(BancosMesclados[[#This Row],[CodCliente]],1,SEARCH("_",BancosMesclados[[#This Row],[CodCliente]])-1)</f>
        <v>Itau</v>
      </c>
      <c r="O125" s="6"/>
      <c r="P125" s="6"/>
      <c r="Q125" s="6"/>
    </row>
    <row r="126" spans="1:17" x14ac:dyDescent="0.4">
      <c r="A126" s="23" t="s">
        <v>181</v>
      </c>
      <c r="B126" s="1">
        <v>45300</v>
      </c>
      <c r="C126" t="s">
        <v>189</v>
      </c>
      <c r="D126" s="29">
        <v>1262.98</v>
      </c>
      <c r="G126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6" s="6" t="s">
        <v>159</v>
      </c>
      <c r="I126" s="1">
        <f>BancosMesclados[[#This Row],[Data]]</f>
        <v>45300</v>
      </c>
      <c r="J126" t="s">
        <v>20</v>
      </c>
      <c r="K126" t="s">
        <v>18</v>
      </c>
      <c r="L126" s="6" t="s">
        <v>156</v>
      </c>
      <c r="M126" s="6">
        <v>1262.98</v>
      </c>
      <c r="N126" t="str">
        <f>MID(BancosMesclados[[#This Row],[CodCliente]],1,SEARCH("_",BancosMesclados[[#This Row],[CodCliente]])-1)</f>
        <v>Itau</v>
      </c>
      <c r="O126" s="6"/>
      <c r="P126" s="6"/>
      <c r="Q126" s="6"/>
    </row>
    <row r="127" spans="1:17" x14ac:dyDescent="0.4">
      <c r="A127" s="23" t="s">
        <v>181</v>
      </c>
      <c r="B127" s="1">
        <v>45300</v>
      </c>
      <c r="C127" t="s">
        <v>190</v>
      </c>
      <c r="D127">
        <v>165</v>
      </c>
      <c r="G127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7" s="6" t="s">
        <v>159</v>
      </c>
      <c r="I127" s="1">
        <f>BancosMesclados[[#This Row],[Data]]</f>
        <v>45300</v>
      </c>
      <c r="J127" t="s">
        <v>20</v>
      </c>
      <c r="K127" t="s">
        <v>18</v>
      </c>
      <c r="L127" s="6" t="s">
        <v>156</v>
      </c>
      <c r="M127" s="6">
        <v>165</v>
      </c>
      <c r="N127" t="str">
        <f>MID(BancosMesclados[[#This Row],[CodCliente]],1,SEARCH("_",BancosMesclados[[#This Row],[CodCliente]])-1)</f>
        <v>Itau</v>
      </c>
      <c r="O127" s="6"/>
      <c r="P127" s="6"/>
      <c r="Q127" s="6"/>
    </row>
    <row r="128" spans="1:17" x14ac:dyDescent="0.4">
      <c r="A128" s="23" t="s">
        <v>181</v>
      </c>
      <c r="B128" s="1">
        <v>45301</v>
      </c>
      <c r="C128" t="s">
        <v>183</v>
      </c>
      <c r="D128">
        <v>429.39</v>
      </c>
      <c r="G128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8" s="6" t="s">
        <v>159</v>
      </c>
      <c r="I128" s="1">
        <f>BancosMesclados[[#This Row],[Data]]</f>
        <v>45301</v>
      </c>
      <c r="J128" t="s">
        <v>91</v>
      </c>
      <c r="K128" t="s">
        <v>93</v>
      </c>
      <c r="L128" s="6" t="s">
        <v>94</v>
      </c>
      <c r="M128" s="6">
        <v>429.39</v>
      </c>
      <c r="N128" t="str">
        <f>MID(BancosMesclados[[#This Row],[CodCliente]],1,SEARCH("_",BancosMesclados[[#This Row],[CodCliente]])-1)</f>
        <v>Itau</v>
      </c>
      <c r="O128" s="6"/>
      <c r="P128" s="6"/>
      <c r="Q128" s="6"/>
    </row>
    <row r="129" spans="1:17" x14ac:dyDescent="0.4">
      <c r="A129" s="23" t="s">
        <v>181</v>
      </c>
      <c r="B129" s="1">
        <v>45301</v>
      </c>
      <c r="C129" t="s">
        <v>188</v>
      </c>
      <c r="D129">
        <v>835.31</v>
      </c>
      <c r="G129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29" s="6" t="s">
        <v>159</v>
      </c>
      <c r="I129" s="1">
        <f>BancosMesclados[[#This Row],[Data]]</f>
        <v>45301</v>
      </c>
      <c r="J129" t="s">
        <v>20</v>
      </c>
      <c r="K129" t="s">
        <v>18</v>
      </c>
      <c r="L129" s="6" t="s">
        <v>156</v>
      </c>
      <c r="M129" s="6">
        <v>835.31</v>
      </c>
      <c r="N129" t="str">
        <f>MID(BancosMesclados[[#This Row],[CodCliente]],1,SEARCH("_",BancosMesclados[[#This Row],[CodCliente]])-1)</f>
        <v>Itau</v>
      </c>
      <c r="O129" s="6"/>
      <c r="P129" s="6"/>
      <c r="Q129" s="6"/>
    </row>
    <row r="130" spans="1:17" x14ac:dyDescent="0.4">
      <c r="A130" s="23" t="s">
        <v>181</v>
      </c>
      <c r="B130" s="1">
        <v>45301</v>
      </c>
      <c r="C130" t="s">
        <v>189</v>
      </c>
      <c r="D130">
        <v>375.49</v>
      </c>
      <c r="G130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0" s="6" t="s">
        <v>159</v>
      </c>
      <c r="I130" s="1">
        <f>BancosMesclados[[#This Row],[Data]]</f>
        <v>45301</v>
      </c>
      <c r="J130" t="s">
        <v>60</v>
      </c>
      <c r="K130" t="s">
        <v>51</v>
      </c>
      <c r="L130" s="6" t="s">
        <v>161</v>
      </c>
      <c r="M130" s="6">
        <v>375.49</v>
      </c>
      <c r="N130" t="str">
        <f>MID(BancosMesclados[[#This Row],[CodCliente]],1,SEARCH("_",BancosMesclados[[#This Row],[CodCliente]])-1)</f>
        <v>Itau</v>
      </c>
      <c r="O130" s="6"/>
      <c r="P130" s="6"/>
      <c r="Q130" s="6"/>
    </row>
    <row r="131" spans="1:17" x14ac:dyDescent="0.4">
      <c r="A131" s="23" t="s">
        <v>181</v>
      </c>
      <c r="B131" s="1">
        <v>45302</v>
      </c>
      <c r="C131" t="s">
        <v>202</v>
      </c>
      <c r="D131">
        <v>237</v>
      </c>
      <c r="G131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1" s="6" t="s">
        <v>159</v>
      </c>
      <c r="I131" s="1">
        <f>BancosMesclados[[#This Row],[Data]]</f>
        <v>45302</v>
      </c>
      <c r="J131" t="s">
        <v>25</v>
      </c>
      <c r="K131" t="s">
        <v>16</v>
      </c>
      <c r="L131" s="6" t="s">
        <v>155</v>
      </c>
      <c r="M131" s="6">
        <v>237</v>
      </c>
      <c r="N131" t="str">
        <f>MID(BancosMesclados[[#This Row],[CodCliente]],1,SEARCH("_",BancosMesclados[[#This Row],[CodCliente]])-1)</f>
        <v>Itau</v>
      </c>
      <c r="O131" s="6"/>
      <c r="P131" s="6"/>
      <c r="Q131" s="6"/>
    </row>
    <row r="132" spans="1:17" x14ac:dyDescent="0.4">
      <c r="A132" s="23" t="s">
        <v>181</v>
      </c>
      <c r="B132" s="1">
        <v>45302</v>
      </c>
      <c r="C132" t="s">
        <v>183</v>
      </c>
      <c r="D132">
        <v>306</v>
      </c>
      <c r="G132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2" s="6" t="s">
        <v>159</v>
      </c>
      <c r="I132" s="1">
        <f>BancosMesclados[[#This Row],[Data]]</f>
        <v>45302</v>
      </c>
      <c r="J132" t="s">
        <v>15</v>
      </c>
      <c r="K132" t="s">
        <v>16</v>
      </c>
      <c r="L132" s="6" t="s">
        <v>155</v>
      </c>
      <c r="M132" s="6">
        <v>306</v>
      </c>
      <c r="N132" t="str">
        <f>MID(BancosMesclados[[#This Row],[CodCliente]],1,SEARCH("_",BancosMesclados[[#This Row],[CodCliente]])-1)</f>
        <v>Itau</v>
      </c>
      <c r="O132" s="6"/>
      <c r="P132" s="6"/>
      <c r="Q132" s="6"/>
    </row>
    <row r="133" spans="1:17" x14ac:dyDescent="0.4">
      <c r="A133" s="23" t="s">
        <v>181</v>
      </c>
      <c r="B133" s="1">
        <v>45302</v>
      </c>
      <c r="C133" t="s">
        <v>188</v>
      </c>
      <c r="D133" s="29">
        <v>1250.47</v>
      </c>
      <c r="G133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3" s="6" t="s">
        <v>159</v>
      </c>
      <c r="I133" s="1">
        <f>BancosMesclados[[#This Row],[Data]]</f>
        <v>45302</v>
      </c>
      <c r="J133" t="s">
        <v>91</v>
      </c>
      <c r="K133" t="s">
        <v>93</v>
      </c>
      <c r="L133" s="6" t="s">
        <v>94</v>
      </c>
      <c r="M133" s="6">
        <v>1250.47</v>
      </c>
      <c r="N133" t="str">
        <f>MID(BancosMesclados[[#This Row],[CodCliente]],1,SEARCH("_",BancosMesclados[[#This Row],[CodCliente]])-1)</f>
        <v>Itau</v>
      </c>
      <c r="O133" s="6"/>
      <c r="P133" s="6"/>
      <c r="Q133" s="6"/>
    </row>
    <row r="134" spans="1:17" x14ac:dyDescent="0.4">
      <c r="A134" s="23" t="s">
        <v>181</v>
      </c>
      <c r="B134" s="1">
        <v>45302</v>
      </c>
      <c r="C134" t="s">
        <v>189</v>
      </c>
      <c r="D134">
        <v>684.18</v>
      </c>
      <c r="G134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4" s="6" t="s">
        <v>159</v>
      </c>
      <c r="I134" s="1">
        <f>BancosMesclados[[#This Row],[Data]]</f>
        <v>45302</v>
      </c>
      <c r="J134" t="s">
        <v>75</v>
      </c>
      <c r="K134" t="s">
        <v>18</v>
      </c>
      <c r="L134" s="6" t="s">
        <v>96</v>
      </c>
      <c r="M134" s="6">
        <v>684.18</v>
      </c>
      <c r="N134" t="str">
        <f>MID(BancosMesclados[[#This Row],[CodCliente]],1,SEARCH("_",BancosMesclados[[#This Row],[CodCliente]])-1)</f>
        <v>Itau</v>
      </c>
      <c r="O134" s="6"/>
      <c r="P134" s="6"/>
      <c r="Q134" s="6"/>
    </row>
    <row r="135" spans="1:17" x14ac:dyDescent="0.4">
      <c r="A135" s="23" t="s">
        <v>181</v>
      </c>
      <c r="B135" s="1">
        <v>45303</v>
      </c>
      <c r="C135" t="s">
        <v>202</v>
      </c>
      <c r="D135">
        <v>440</v>
      </c>
      <c r="G135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5" s="6" t="s">
        <v>159</v>
      </c>
      <c r="I135" s="1">
        <f>BancosMesclados[[#This Row],[Data]]</f>
        <v>45303</v>
      </c>
      <c r="J135" t="s">
        <v>73</v>
      </c>
      <c r="K135" t="s">
        <v>18</v>
      </c>
      <c r="L135" s="6" t="s">
        <v>156</v>
      </c>
      <c r="M135" s="6">
        <v>440</v>
      </c>
      <c r="N135" t="str">
        <f>MID(BancosMesclados[[#This Row],[CodCliente]],1,SEARCH("_",BancosMesclados[[#This Row],[CodCliente]])-1)</f>
        <v>Itau</v>
      </c>
      <c r="O135" s="6"/>
      <c r="P135" s="6"/>
      <c r="Q135" s="6"/>
    </row>
    <row r="136" spans="1:17" x14ac:dyDescent="0.4">
      <c r="A136" s="23" t="s">
        <v>181</v>
      </c>
      <c r="B136" s="1">
        <v>45303</v>
      </c>
      <c r="C136" t="s">
        <v>191</v>
      </c>
      <c r="D136" s="29">
        <v>-2000</v>
      </c>
      <c r="G136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6" s="6" t="s">
        <v>159</v>
      </c>
      <c r="I136" s="1">
        <f>BancosMesclados[[#This Row],[Data]]</f>
        <v>45303</v>
      </c>
      <c r="J136" t="s">
        <v>34</v>
      </c>
      <c r="K136" t="s">
        <v>33</v>
      </c>
      <c r="L136" s="6" t="s">
        <v>155</v>
      </c>
      <c r="M136" s="6">
        <v>-2000</v>
      </c>
      <c r="N136" t="str">
        <f>MID(BancosMesclados[[#This Row],[CodCliente]],1,SEARCH("_",BancosMesclados[[#This Row],[CodCliente]])-1)</f>
        <v>Itau</v>
      </c>
      <c r="O136" s="6"/>
      <c r="P136" s="6"/>
      <c r="Q136" s="6"/>
    </row>
    <row r="137" spans="1:17" x14ac:dyDescent="0.4">
      <c r="A137" s="23" t="s">
        <v>181</v>
      </c>
      <c r="B137" s="1">
        <v>45303</v>
      </c>
      <c r="C137" t="s">
        <v>182</v>
      </c>
      <c r="D137">
        <v>287.85000000000002</v>
      </c>
      <c r="G137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7" s="6" t="s">
        <v>159</v>
      </c>
      <c r="I137" s="1">
        <f>BancosMesclados[[#This Row],[Data]]</f>
        <v>45303</v>
      </c>
      <c r="J137" t="s">
        <v>25</v>
      </c>
      <c r="K137" t="s">
        <v>16</v>
      </c>
      <c r="L137" s="6" t="s">
        <v>155</v>
      </c>
      <c r="M137" s="6">
        <v>287.85000000000002</v>
      </c>
      <c r="N137" t="str">
        <f>MID(BancosMesclados[[#This Row],[CodCliente]],1,SEARCH("_",BancosMesclados[[#This Row],[CodCliente]])-1)</f>
        <v>Itau</v>
      </c>
      <c r="O137" s="6"/>
      <c r="P137" s="6"/>
      <c r="Q137" s="6"/>
    </row>
    <row r="138" spans="1:17" x14ac:dyDescent="0.4">
      <c r="A138" s="23" t="s">
        <v>181</v>
      </c>
      <c r="B138" s="1">
        <v>45303</v>
      </c>
      <c r="C138" t="s">
        <v>183</v>
      </c>
      <c r="D138">
        <v>460.98</v>
      </c>
      <c r="G138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8" s="6" t="s">
        <v>159</v>
      </c>
      <c r="I138" s="1">
        <f>BancosMesclados[[#This Row],[Data]]</f>
        <v>45303</v>
      </c>
      <c r="J138" t="s">
        <v>15</v>
      </c>
      <c r="K138" t="s">
        <v>16</v>
      </c>
      <c r="L138" s="6" t="s">
        <v>155</v>
      </c>
      <c r="M138" s="6">
        <v>460.98</v>
      </c>
      <c r="N138" t="str">
        <f>MID(BancosMesclados[[#This Row],[CodCliente]],1,SEARCH("_",BancosMesclados[[#This Row],[CodCliente]])-1)</f>
        <v>Itau</v>
      </c>
      <c r="O138" s="6"/>
      <c r="P138" s="6"/>
      <c r="Q138" s="6"/>
    </row>
    <row r="139" spans="1:17" x14ac:dyDescent="0.4">
      <c r="A139" s="23" t="s">
        <v>181</v>
      </c>
      <c r="B139" s="1">
        <v>45303</v>
      </c>
      <c r="C139" t="s">
        <v>184</v>
      </c>
      <c r="D139">
        <v>301.07</v>
      </c>
      <c r="G139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39" s="6" t="s">
        <v>159</v>
      </c>
      <c r="I139" s="1">
        <f>BancosMesclados[[#This Row],[Data]]</f>
        <v>45303</v>
      </c>
      <c r="J139" t="s">
        <v>34</v>
      </c>
      <c r="K139" t="s">
        <v>33</v>
      </c>
      <c r="L139" s="6" t="s">
        <v>155</v>
      </c>
      <c r="M139" s="6">
        <v>301.07</v>
      </c>
      <c r="N139" t="str">
        <f>MID(BancosMesclados[[#This Row],[CodCliente]],1,SEARCH("_",BancosMesclados[[#This Row],[CodCliente]])-1)</f>
        <v>Itau</v>
      </c>
      <c r="O139" s="6"/>
      <c r="P139" s="6"/>
      <c r="Q139" s="6"/>
    </row>
    <row r="140" spans="1:17" x14ac:dyDescent="0.4">
      <c r="A140" s="23" t="s">
        <v>181</v>
      </c>
      <c r="B140" s="1">
        <v>45303</v>
      </c>
      <c r="C140" t="s">
        <v>188</v>
      </c>
      <c r="D140">
        <v>345.57</v>
      </c>
      <c r="G140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0" s="6" t="s">
        <v>159</v>
      </c>
      <c r="I140" s="1">
        <f>BancosMesclados[[#This Row],[Data]]</f>
        <v>45303</v>
      </c>
      <c r="J140" t="s">
        <v>91</v>
      </c>
      <c r="K140" t="s">
        <v>93</v>
      </c>
      <c r="L140" s="6" t="s">
        <v>94</v>
      </c>
      <c r="M140" s="6">
        <v>345.57</v>
      </c>
      <c r="N140" t="str">
        <f>MID(BancosMesclados[[#This Row],[CodCliente]],1,SEARCH("_",BancosMesclados[[#This Row],[CodCliente]])-1)</f>
        <v>Itau</v>
      </c>
      <c r="O140" s="6"/>
      <c r="P140" s="6"/>
      <c r="Q140" s="6"/>
    </row>
    <row r="141" spans="1:17" x14ac:dyDescent="0.4">
      <c r="A141" s="23" t="s">
        <v>181</v>
      </c>
      <c r="B141" s="1">
        <v>45303</v>
      </c>
      <c r="C141" t="s">
        <v>189</v>
      </c>
      <c r="D141">
        <v>146.31</v>
      </c>
      <c r="G141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1" s="6" t="s">
        <v>159</v>
      </c>
      <c r="I141" s="1">
        <f>BancosMesclados[[#This Row],[Data]]</f>
        <v>45303</v>
      </c>
      <c r="J141" t="s">
        <v>91</v>
      </c>
      <c r="K141" t="s">
        <v>93</v>
      </c>
      <c r="L141" s="6" t="s">
        <v>94</v>
      </c>
      <c r="M141" s="6">
        <v>146.31</v>
      </c>
      <c r="N141" t="str">
        <f>MID(BancosMesclados[[#This Row],[CodCliente]],1,SEARCH("_",BancosMesclados[[#This Row],[CodCliente]])-1)</f>
        <v>Itau</v>
      </c>
      <c r="O141" s="6"/>
      <c r="P141" s="6"/>
      <c r="Q141" s="6"/>
    </row>
    <row r="142" spans="1:17" x14ac:dyDescent="0.4">
      <c r="A142" s="23" t="s">
        <v>181</v>
      </c>
      <c r="B142" s="1">
        <v>45306</v>
      </c>
      <c r="C142" t="s">
        <v>202</v>
      </c>
      <c r="D142">
        <v>173</v>
      </c>
      <c r="G142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2" s="6" t="s">
        <v>159</v>
      </c>
      <c r="I142" s="1">
        <f>BancosMesclados[[#This Row],[Data]]</f>
        <v>45306</v>
      </c>
      <c r="J142" t="s">
        <v>91</v>
      </c>
      <c r="K142" t="s">
        <v>93</v>
      </c>
      <c r="L142" s="6" t="s">
        <v>94</v>
      </c>
      <c r="M142" s="6">
        <v>173</v>
      </c>
      <c r="N142" t="str">
        <f>MID(BancosMesclados[[#This Row],[CodCliente]],1,SEARCH("_",BancosMesclados[[#This Row],[CodCliente]])-1)</f>
        <v>Itau</v>
      </c>
      <c r="O142" s="6"/>
      <c r="P142" s="6"/>
      <c r="Q142" s="6"/>
    </row>
    <row r="143" spans="1:17" x14ac:dyDescent="0.4">
      <c r="A143" s="23" t="s">
        <v>181</v>
      </c>
      <c r="B143" s="1">
        <v>45306</v>
      </c>
      <c r="C143" t="s">
        <v>191</v>
      </c>
      <c r="D143">
        <v>-320</v>
      </c>
      <c r="G143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3" s="6" t="s">
        <v>159</v>
      </c>
      <c r="I143" s="1">
        <f>BancosMesclados[[#This Row],[Data]]</f>
        <v>45306</v>
      </c>
      <c r="J143" t="s">
        <v>91</v>
      </c>
      <c r="K143" t="s">
        <v>93</v>
      </c>
      <c r="L143" s="6" t="s">
        <v>94</v>
      </c>
      <c r="M143" s="6">
        <v>-320</v>
      </c>
      <c r="N143" t="str">
        <f>MID(BancosMesclados[[#This Row],[CodCliente]],1,SEARCH("_",BancosMesclados[[#This Row],[CodCliente]])-1)</f>
        <v>Itau</v>
      </c>
      <c r="O143" s="6"/>
      <c r="P143" s="6"/>
      <c r="Q143" s="6"/>
    </row>
    <row r="144" spans="1:17" x14ac:dyDescent="0.4">
      <c r="A144" s="23" t="s">
        <v>181</v>
      </c>
      <c r="B144" s="1">
        <v>45306</v>
      </c>
      <c r="C144" t="s">
        <v>182</v>
      </c>
      <c r="D144">
        <v>94.97</v>
      </c>
      <c r="G144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4" s="6" t="s">
        <v>159</v>
      </c>
      <c r="I144" s="1">
        <f>BancosMesclados[[#This Row],[Data]]</f>
        <v>45306</v>
      </c>
      <c r="J144" t="s">
        <v>91</v>
      </c>
      <c r="K144" t="s">
        <v>93</v>
      </c>
      <c r="L144" s="6" t="s">
        <v>94</v>
      </c>
      <c r="M144" s="6">
        <v>94.97</v>
      </c>
      <c r="N144" t="str">
        <f>MID(BancosMesclados[[#This Row],[CodCliente]],1,SEARCH("_",BancosMesclados[[#This Row],[CodCliente]])-1)</f>
        <v>Itau</v>
      </c>
      <c r="O144" s="6"/>
      <c r="P144" s="6"/>
      <c r="Q144" s="6"/>
    </row>
    <row r="145" spans="1:17" x14ac:dyDescent="0.4">
      <c r="A145" s="23" t="s">
        <v>181</v>
      </c>
      <c r="B145" s="1">
        <v>45306</v>
      </c>
      <c r="C145" t="s">
        <v>183</v>
      </c>
      <c r="D145" s="29">
        <v>1172.69</v>
      </c>
      <c r="G145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5" s="6" t="s">
        <v>159</v>
      </c>
      <c r="I145" s="1">
        <f>BancosMesclados[[#This Row],[Data]]</f>
        <v>45306</v>
      </c>
      <c r="J145" t="s">
        <v>91</v>
      </c>
      <c r="K145" t="s">
        <v>93</v>
      </c>
      <c r="L145" s="6" t="s">
        <v>94</v>
      </c>
      <c r="M145" s="6">
        <v>1172.69</v>
      </c>
      <c r="N145" t="str">
        <f>MID(BancosMesclados[[#This Row],[CodCliente]],1,SEARCH("_",BancosMesclados[[#This Row],[CodCliente]])-1)</f>
        <v>Itau</v>
      </c>
      <c r="O145" s="6"/>
      <c r="P145" s="6"/>
      <c r="Q145" s="6"/>
    </row>
    <row r="146" spans="1:17" x14ac:dyDescent="0.4">
      <c r="A146" s="23" t="s">
        <v>181</v>
      </c>
      <c r="B146" s="1">
        <v>45306</v>
      </c>
      <c r="C146" t="s">
        <v>184</v>
      </c>
      <c r="D146">
        <v>966.37</v>
      </c>
      <c r="G146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6" s="6" t="s">
        <v>159</v>
      </c>
      <c r="I146" s="1">
        <f>BancosMesclados[[#This Row],[Data]]</f>
        <v>45306</v>
      </c>
      <c r="J146" t="s">
        <v>34</v>
      </c>
      <c r="K146" t="s">
        <v>33</v>
      </c>
      <c r="L146" s="6" t="s">
        <v>155</v>
      </c>
      <c r="M146" s="6">
        <v>966.37</v>
      </c>
      <c r="N146" t="str">
        <f>MID(BancosMesclados[[#This Row],[CodCliente]],1,SEARCH("_",BancosMesclados[[#This Row],[CodCliente]])-1)</f>
        <v>Itau</v>
      </c>
      <c r="O146" s="6"/>
      <c r="P146" s="6"/>
      <c r="Q146" s="6"/>
    </row>
    <row r="147" spans="1:17" x14ac:dyDescent="0.4">
      <c r="A147" s="23" t="s">
        <v>181</v>
      </c>
      <c r="B147" s="1">
        <v>45306</v>
      </c>
      <c r="C147" t="s">
        <v>188</v>
      </c>
      <c r="D147" s="29">
        <v>1112.01</v>
      </c>
      <c r="G147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7" s="6" t="s">
        <v>159</v>
      </c>
      <c r="I147" s="1">
        <f>BancosMesclados[[#This Row],[Data]]</f>
        <v>45306</v>
      </c>
      <c r="J147" t="s">
        <v>43</v>
      </c>
      <c r="K147" t="s">
        <v>44</v>
      </c>
      <c r="L147" s="6" t="s">
        <v>158</v>
      </c>
      <c r="M147" s="6">
        <v>1112.01</v>
      </c>
      <c r="N147" t="str">
        <f>MID(BancosMesclados[[#This Row],[CodCliente]],1,SEARCH("_",BancosMesclados[[#This Row],[CodCliente]])-1)</f>
        <v>Itau</v>
      </c>
      <c r="O147" s="6"/>
      <c r="P147" s="6"/>
      <c r="Q147" s="6"/>
    </row>
    <row r="148" spans="1:17" x14ac:dyDescent="0.4">
      <c r="A148" s="23" t="s">
        <v>181</v>
      </c>
      <c r="B148" s="1">
        <v>45306</v>
      </c>
      <c r="C148" t="s">
        <v>189</v>
      </c>
      <c r="D148">
        <v>462.6</v>
      </c>
      <c r="G148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8" s="6" t="s">
        <v>159</v>
      </c>
      <c r="I148" s="1">
        <f>BancosMesclados[[#This Row],[Data]]</f>
        <v>45306</v>
      </c>
      <c r="J148" t="s">
        <v>75</v>
      </c>
      <c r="K148" t="s">
        <v>18</v>
      </c>
      <c r="L148" s="6" t="s">
        <v>96</v>
      </c>
      <c r="M148" s="6">
        <v>462.6</v>
      </c>
      <c r="N148" t="str">
        <f>MID(BancosMesclados[[#This Row],[CodCliente]],1,SEARCH("_",BancosMesclados[[#This Row],[CodCliente]])-1)</f>
        <v>Itau</v>
      </c>
      <c r="O148" s="6"/>
      <c r="P148" s="6"/>
      <c r="Q148" s="6"/>
    </row>
    <row r="149" spans="1:17" x14ac:dyDescent="0.4">
      <c r="A149" s="23" t="s">
        <v>181</v>
      </c>
      <c r="B149" s="1">
        <v>45307</v>
      </c>
      <c r="C149" t="s">
        <v>202</v>
      </c>
      <c r="D149">
        <v>452</v>
      </c>
      <c r="G149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49" s="6" t="s">
        <v>159</v>
      </c>
      <c r="I149" s="1">
        <f>BancosMesclados[[#This Row],[Data]]</f>
        <v>45307</v>
      </c>
      <c r="J149" t="s">
        <v>73</v>
      </c>
      <c r="K149" t="s">
        <v>18</v>
      </c>
      <c r="L149" s="6" t="s">
        <v>156</v>
      </c>
      <c r="M149" s="6">
        <v>452</v>
      </c>
      <c r="N149" t="str">
        <f>MID(BancosMesclados[[#This Row],[CodCliente]],1,SEARCH("_",BancosMesclados[[#This Row],[CodCliente]])-1)</f>
        <v>Itau</v>
      </c>
      <c r="O149" s="6"/>
      <c r="P149" s="6"/>
      <c r="Q149" s="6"/>
    </row>
    <row r="150" spans="1:17" x14ac:dyDescent="0.4">
      <c r="A150" s="23" t="s">
        <v>181</v>
      </c>
      <c r="B150" s="1">
        <v>45307</v>
      </c>
      <c r="C150" t="s">
        <v>183</v>
      </c>
      <c r="D150">
        <v>146.09</v>
      </c>
      <c r="G150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0" s="6" t="s">
        <v>159</v>
      </c>
      <c r="I150" s="1">
        <f>BancosMesclados[[#This Row],[Data]]</f>
        <v>45307</v>
      </c>
      <c r="J150" t="s">
        <v>25</v>
      </c>
      <c r="K150" t="s">
        <v>16</v>
      </c>
      <c r="L150" s="6" t="s">
        <v>155</v>
      </c>
      <c r="M150" s="6">
        <v>146.09</v>
      </c>
      <c r="N150" t="str">
        <f>MID(BancosMesclados[[#This Row],[CodCliente]],1,SEARCH("_",BancosMesclados[[#This Row],[CodCliente]])-1)</f>
        <v>Itau</v>
      </c>
      <c r="O150" s="6"/>
      <c r="P150" s="6"/>
      <c r="Q150" s="6"/>
    </row>
    <row r="151" spans="1:17" x14ac:dyDescent="0.4">
      <c r="A151" s="23" t="s">
        <v>181</v>
      </c>
      <c r="B151" s="1">
        <v>45307</v>
      </c>
      <c r="C151" t="s">
        <v>192</v>
      </c>
      <c r="D151">
        <v>189.01</v>
      </c>
      <c r="G151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1" s="6" t="s">
        <v>159</v>
      </c>
      <c r="I151" s="1">
        <f>BancosMesclados[[#This Row],[Data]]</f>
        <v>45307</v>
      </c>
      <c r="J151" t="s">
        <v>91</v>
      </c>
      <c r="K151" t="s">
        <v>93</v>
      </c>
      <c r="L151" s="6" t="s">
        <v>94</v>
      </c>
      <c r="M151" s="6">
        <v>189.01</v>
      </c>
      <c r="N151" t="str">
        <f>MID(BancosMesclados[[#This Row],[CodCliente]],1,SEARCH("_",BancosMesclados[[#This Row],[CodCliente]])-1)</f>
        <v>Itau</v>
      </c>
      <c r="O151" s="6"/>
      <c r="P151" s="6"/>
      <c r="Q151" s="6"/>
    </row>
    <row r="152" spans="1:17" x14ac:dyDescent="0.4">
      <c r="A152" s="23" t="s">
        <v>181</v>
      </c>
      <c r="B152" s="1">
        <v>45307</v>
      </c>
      <c r="C152" t="s">
        <v>193</v>
      </c>
      <c r="D152">
        <v>241.52</v>
      </c>
      <c r="G152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2" s="6" t="s">
        <v>159</v>
      </c>
      <c r="I152" s="1">
        <f>BancosMesclados[[#This Row],[Data]]</f>
        <v>45307</v>
      </c>
      <c r="J152" t="s">
        <v>91</v>
      </c>
      <c r="K152" t="s">
        <v>93</v>
      </c>
      <c r="L152" s="6" t="s">
        <v>94</v>
      </c>
      <c r="M152" s="6">
        <v>241.52</v>
      </c>
      <c r="N152" t="str">
        <f>MID(BancosMesclados[[#This Row],[CodCliente]],1,SEARCH("_",BancosMesclados[[#This Row],[CodCliente]])-1)</f>
        <v>Itau</v>
      </c>
      <c r="O152" s="6"/>
      <c r="P152" s="6"/>
      <c r="Q152" s="6"/>
    </row>
    <row r="153" spans="1:17" x14ac:dyDescent="0.4">
      <c r="A153" s="23" t="s">
        <v>181</v>
      </c>
      <c r="B153" s="1">
        <v>45307</v>
      </c>
      <c r="C153" t="s">
        <v>188</v>
      </c>
      <c r="D153" s="29">
        <v>2571.8200000000002</v>
      </c>
      <c r="G153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3" s="6" t="s">
        <v>159</v>
      </c>
      <c r="I153" s="1">
        <f>BancosMesclados[[#This Row],[Data]]</f>
        <v>45307</v>
      </c>
      <c r="J153" t="s">
        <v>91</v>
      </c>
      <c r="K153" t="s">
        <v>93</v>
      </c>
      <c r="L153" t="s">
        <v>94</v>
      </c>
      <c r="M153" s="6">
        <v>2571.8200000000002</v>
      </c>
      <c r="N153" t="str">
        <f>MID(BancosMesclados[[#This Row],[CodCliente]],1,SEARCH("_",BancosMesclados[[#This Row],[CodCliente]])-1)</f>
        <v>Itau</v>
      </c>
    </row>
    <row r="154" spans="1:17" x14ac:dyDescent="0.4">
      <c r="A154" s="23" t="s">
        <v>181</v>
      </c>
      <c r="B154" s="1">
        <v>45307</v>
      </c>
      <c r="C154" t="s">
        <v>189</v>
      </c>
      <c r="D154" s="29">
        <v>1082.27</v>
      </c>
      <c r="G154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4" s="6" t="s">
        <v>159</v>
      </c>
      <c r="I154" s="1">
        <f>BancosMesclados[[#This Row],[Data]]</f>
        <v>45307</v>
      </c>
      <c r="J154" t="s">
        <v>91</v>
      </c>
      <c r="K154" t="s">
        <v>93</v>
      </c>
      <c r="L154" t="s">
        <v>94</v>
      </c>
      <c r="M154" s="6">
        <v>1082.27</v>
      </c>
      <c r="N154" t="str">
        <f>MID(BancosMesclados[[#This Row],[CodCliente]],1,SEARCH("_",BancosMesclados[[#This Row],[CodCliente]])-1)</f>
        <v>Itau</v>
      </c>
    </row>
    <row r="155" spans="1:17" x14ac:dyDescent="0.4">
      <c r="A155" s="23" t="s">
        <v>181</v>
      </c>
      <c r="B155" s="1">
        <v>45308</v>
      </c>
      <c r="C155" t="s">
        <v>202</v>
      </c>
      <c r="D155">
        <v>280.5</v>
      </c>
      <c r="G155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5" s="6" t="s">
        <v>159</v>
      </c>
      <c r="I155" s="1">
        <f>BancosMesclados[[#This Row],[Data]]</f>
        <v>45308</v>
      </c>
      <c r="J155" t="s">
        <v>25</v>
      </c>
      <c r="K155" t="s">
        <v>16</v>
      </c>
      <c r="L155" t="s">
        <v>155</v>
      </c>
      <c r="M155" s="6">
        <v>280.5</v>
      </c>
      <c r="N155" t="str">
        <f>MID(BancosMesclados[[#This Row],[CodCliente]],1,SEARCH("_",BancosMesclados[[#This Row],[CodCliente]])-1)</f>
        <v>Itau</v>
      </c>
    </row>
    <row r="156" spans="1:17" x14ac:dyDescent="0.4">
      <c r="A156" s="23" t="s">
        <v>181</v>
      </c>
      <c r="B156" s="1">
        <v>45308</v>
      </c>
      <c r="C156" t="s">
        <v>194</v>
      </c>
      <c r="D156">
        <v>-808.58</v>
      </c>
      <c r="G156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6" s="6" t="s">
        <v>159</v>
      </c>
      <c r="I156" s="1">
        <f>BancosMesclados[[#This Row],[Data]]</f>
        <v>45308</v>
      </c>
      <c r="J156" t="s">
        <v>15</v>
      </c>
      <c r="K156" t="s">
        <v>16</v>
      </c>
      <c r="L156" t="s">
        <v>155</v>
      </c>
      <c r="M156" s="6">
        <v>-808.58</v>
      </c>
      <c r="N156" t="str">
        <f>MID(BancosMesclados[[#This Row],[CodCliente]],1,SEARCH("_",BancosMesclados[[#This Row],[CodCliente]])-1)</f>
        <v>Itau</v>
      </c>
    </row>
    <row r="157" spans="1:17" x14ac:dyDescent="0.4">
      <c r="A157" s="23" t="s">
        <v>181</v>
      </c>
      <c r="B157" s="1">
        <v>45308</v>
      </c>
      <c r="C157" t="s">
        <v>194</v>
      </c>
      <c r="D157">
        <v>-446.3</v>
      </c>
      <c r="G157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7" s="6" t="s">
        <v>159</v>
      </c>
      <c r="I157" s="1">
        <f>BancosMesclados[[#This Row],[Data]]</f>
        <v>45308</v>
      </c>
      <c r="J157" t="s">
        <v>75</v>
      </c>
      <c r="K157" t="s">
        <v>18</v>
      </c>
      <c r="L157" t="s">
        <v>96</v>
      </c>
      <c r="M157" s="6">
        <v>-446.3</v>
      </c>
      <c r="N157" t="str">
        <f>MID(BancosMesclados[[#This Row],[CodCliente]],1,SEARCH("_",BancosMesclados[[#This Row],[CodCliente]])-1)</f>
        <v>Itau</v>
      </c>
    </row>
    <row r="158" spans="1:17" x14ac:dyDescent="0.4">
      <c r="A158" s="23" t="s">
        <v>181</v>
      </c>
      <c r="B158" s="1">
        <v>45308</v>
      </c>
      <c r="C158" t="s">
        <v>191</v>
      </c>
      <c r="D158" s="29">
        <v>-11100</v>
      </c>
      <c r="G158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8" s="6" t="s">
        <v>159</v>
      </c>
      <c r="I158" s="1">
        <f>BancosMesclados[[#This Row],[Data]]</f>
        <v>45308</v>
      </c>
      <c r="J158" t="s">
        <v>55</v>
      </c>
      <c r="K158" t="s">
        <v>51</v>
      </c>
      <c r="L158" t="s">
        <v>156</v>
      </c>
      <c r="M158" s="6">
        <v>-11100</v>
      </c>
      <c r="N158" t="str">
        <f>MID(BancosMesclados[[#This Row],[CodCliente]],1,SEARCH("_",BancosMesclados[[#This Row],[CodCliente]])-1)</f>
        <v>Itau</v>
      </c>
    </row>
    <row r="159" spans="1:17" x14ac:dyDescent="0.4">
      <c r="A159" s="23" t="s">
        <v>181</v>
      </c>
      <c r="B159" s="1">
        <v>45308</v>
      </c>
      <c r="C159" t="s">
        <v>183</v>
      </c>
      <c r="D159">
        <v>182.98</v>
      </c>
      <c r="G159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59" s="6" t="s">
        <v>159</v>
      </c>
      <c r="I159" s="1">
        <f>BancosMesclados[[#This Row],[Data]]</f>
        <v>45308</v>
      </c>
      <c r="J159" t="s">
        <v>54</v>
      </c>
      <c r="K159" t="s">
        <v>51</v>
      </c>
      <c r="L159" t="s">
        <v>156</v>
      </c>
      <c r="M159" s="6">
        <v>182.98</v>
      </c>
      <c r="N159" t="str">
        <f>MID(BancosMesclados[[#This Row],[CodCliente]],1,SEARCH("_",BancosMesclados[[#This Row],[CodCliente]])-1)</f>
        <v>Itau</v>
      </c>
    </row>
    <row r="160" spans="1:17" x14ac:dyDescent="0.4">
      <c r="A160" s="23" t="s">
        <v>181</v>
      </c>
      <c r="B160" s="1">
        <v>45308</v>
      </c>
      <c r="C160" t="s">
        <v>184</v>
      </c>
      <c r="D160">
        <v>131.55000000000001</v>
      </c>
      <c r="G160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0" s="6" t="s">
        <v>159</v>
      </c>
      <c r="I160" s="1">
        <f>BancosMesclados[[#This Row],[Data]]</f>
        <v>45308</v>
      </c>
      <c r="J160" t="s">
        <v>91</v>
      </c>
      <c r="K160" t="s">
        <v>93</v>
      </c>
      <c r="L160" t="s">
        <v>94</v>
      </c>
      <c r="M160" s="6">
        <v>131.55000000000001</v>
      </c>
      <c r="N160" t="str">
        <f>MID(BancosMesclados[[#This Row],[CodCliente]],1,SEARCH("_",BancosMesclados[[#This Row],[CodCliente]])-1)</f>
        <v>Itau</v>
      </c>
    </row>
    <row r="161" spans="1:14" x14ac:dyDescent="0.4">
      <c r="A161" s="23" t="s">
        <v>181</v>
      </c>
      <c r="B161" s="1">
        <v>45308</v>
      </c>
      <c r="C161" t="s">
        <v>188</v>
      </c>
      <c r="D161">
        <v>85.67</v>
      </c>
      <c r="G161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1" s="6" t="s">
        <v>159</v>
      </c>
      <c r="I161" s="1">
        <f>BancosMesclados[[#This Row],[Data]]</f>
        <v>45308</v>
      </c>
      <c r="J161" t="s">
        <v>15</v>
      </c>
      <c r="K161" t="s">
        <v>16</v>
      </c>
      <c r="L161" t="s">
        <v>155</v>
      </c>
      <c r="M161" s="6">
        <v>85.67</v>
      </c>
      <c r="N161" t="str">
        <f>MID(BancosMesclados[[#This Row],[CodCliente]],1,SEARCH("_",BancosMesclados[[#This Row],[CodCliente]])-1)</f>
        <v>Itau</v>
      </c>
    </row>
    <row r="162" spans="1:14" x14ac:dyDescent="0.4">
      <c r="A162" s="23" t="s">
        <v>181</v>
      </c>
      <c r="B162" s="1">
        <v>45308</v>
      </c>
      <c r="C162" t="s">
        <v>189</v>
      </c>
      <c r="D162">
        <v>11.55</v>
      </c>
      <c r="G162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2" s="6" t="s">
        <v>159</v>
      </c>
      <c r="I162" s="1">
        <f>BancosMesclados[[#This Row],[Data]]</f>
        <v>45308</v>
      </c>
      <c r="J162" t="s">
        <v>75</v>
      </c>
      <c r="K162" t="s">
        <v>18</v>
      </c>
      <c r="L162" t="s">
        <v>96</v>
      </c>
      <c r="M162" s="6">
        <v>11.55</v>
      </c>
      <c r="N162" t="str">
        <f>MID(BancosMesclados[[#This Row],[CodCliente]],1,SEARCH("_",BancosMesclados[[#This Row],[CodCliente]])-1)</f>
        <v>Itau</v>
      </c>
    </row>
    <row r="163" spans="1:14" x14ac:dyDescent="0.4">
      <c r="A163" s="23" t="s">
        <v>181</v>
      </c>
      <c r="B163" s="1">
        <v>45308</v>
      </c>
      <c r="C163" t="s">
        <v>203</v>
      </c>
      <c r="D163">
        <v>0.13</v>
      </c>
      <c r="G163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3" s="6" t="s">
        <v>159</v>
      </c>
      <c r="I163" s="1">
        <f>BancosMesclados[[#This Row],[Data]]</f>
        <v>45308</v>
      </c>
      <c r="J163" t="s">
        <v>91</v>
      </c>
      <c r="K163" t="s">
        <v>93</v>
      </c>
      <c r="L163" t="s">
        <v>94</v>
      </c>
      <c r="M163" s="6">
        <v>0.13</v>
      </c>
      <c r="N163" t="str">
        <f>MID(BancosMesclados[[#This Row],[CodCliente]],1,SEARCH("_",BancosMesclados[[#This Row],[CodCliente]])-1)</f>
        <v>Itau</v>
      </c>
    </row>
    <row r="164" spans="1:14" x14ac:dyDescent="0.4">
      <c r="A164" s="23" t="s">
        <v>181</v>
      </c>
      <c r="B164" s="1">
        <v>45309</v>
      </c>
      <c r="C164" t="s">
        <v>202</v>
      </c>
      <c r="D164">
        <v>89</v>
      </c>
      <c r="G164" s="6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4" s="6" t="s">
        <v>159</v>
      </c>
      <c r="I164" s="1">
        <f>BancosMesclados[[#This Row],[Data]]</f>
        <v>45309</v>
      </c>
      <c r="J164" t="s">
        <v>55</v>
      </c>
      <c r="K164" t="s">
        <v>51</v>
      </c>
      <c r="L164" t="s">
        <v>156</v>
      </c>
      <c r="M164" s="6">
        <v>89</v>
      </c>
      <c r="N164" t="str">
        <f>MID(BancosMesclados[[#This Row],[CodCliente]],1,SEARCH("_",BancosMesclados[[#This Row],[CodCliente]])-1)</f>
        <v>Itau</v>
      </c>
    </row>
    <row r="165" spans="1:14" x14ac:dyDescent="0.4">
      <c r="A165" s="23" t="s">
        <v>181</v>
      </c>
      <c r="B165" s="1">
        <v>45309</v>
      </c>
      <c r="C165" t="s">
        <v>191</v>
      </c>
      <c r="D165">
        <v>-120</v>
      </c>
      <c r="G165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5" s="6" t="s">
        <v>159</v>
      </c>
      <c r="I165" s="1">
        <f>BancosMesclados[[#This Row],[Data]]</f>
        <v>45309</v>
      </c>
      <c r="J165" t="s">
        <v>25</v>
      </c>
      <c r="K165" t="s">
        <v>16</v>
      </c>
      <c r="L165" t="s">
        <v>155</v>
      </c>
      <c r="M165" s="6">
        <v>-120</v>
      </c>
      <c r="N165" s="23" t="str">
        <f>MID(BancosMesclados[[#This Row],[CodCliente]],1,SEARCH("_",BancosMesclados[[#This Row],[CodCliente]])-1)</f>
        <v>Itau</v>
      </c>
    </row>
    <row r="166" spans="1:14" x14ac:dyDescent="0.4">
      <c r="A166" s="23" t="s">
        <v>181</v>
      </c>
      <c r="B166" s="1">
        <v>45309</v>
      </c>
      <c r="C166" t="s">
        <v>182</v>
      </c>
      <c r="D166">
        <v>66.709999999999994</v>
      </c>
      <c r="G166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6" s="6" t="s">
        <v>159</v>
      </c>
      <c r="I166" s="1">
        <f>BancosMesclados[[#This Row],[Data]]</f>
        <v>45309</v>
      </c>
      <c r="J166" t="s">
        <v>25</v>
      </c>
      <c r="K166" t="s">
        <v>16</v>
      </c>
      <c r="L166" t="s">
        <v>155</v>
      </c>
      <c r="M166" s="6">
        <v>66.709999999999994</v>
      </c>
      <c r="N166" s="23" t="str">
        <f>MID(BancosMesclados[[#This Row],[CodCliente]],1,SEARCH("_",BancosMesclados[[#This Row],[CodCliente]])-1)</f>
        <v>Itau</v>
      </c>
    </row>
    <row r="167" spans="1:14" x14ac:dyDescent="0.4">
      <c r="A167" s="23" t="s">
        <v>181</v>
      </c>
      <c r="B167" s="1">
        <v>45309</v>
      </c>
      <c r="C167" t="s">
        <v>183</v>
      </c>
      <c r="D167">
        <v>96.94</v>
      </c>
      <c r="G167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7" s="6" t="s">
        <v>159</v>
      </c>
      <c r="I167" s="1">
        <f>BancosMesclados[[#This Row],[Data]]</f>
        <v>45309</v>
      </c>
      <c r="J167" t="s">
        <v>15</v>
      </c>
      <c r="K167" t="s">
        <v>16</v>
      </c>
      <c r="L167" t="s">
        <v>155</v>
      </c>
      <c r="M167" s="6">
        <v>96.94</v>
      </c>
      <c r="N167" s="23" t="str">
        <f>MID(BancosMesclados[[#This Row],[CodCliente]],1,SEARCH("_",BancosMesclados[[#This Row],[CodCliente]])-1)</f>
        <v>Itau</v>
      </c>
    </row>
    <row r="168" spans="1:14" x14ac:dyDescent="0.4">
      <c r="A168" s="23" t="s">
        <v>181</v>
      </c>
      <c r="B168" s="1">
        <v>45309</v>
      </c>
      <c r="C168" t="s">
        <v>184</v>
      </c>
      <c r="D168">
        <v>38.57</v>
      </c>
      <c r="G168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8" s="6" t="s">
        <v>159</v>
      </c>
      <c r="I168" s="1">
        <f>BancosMesclados[[#This Row],[Data]]</f>
        <v>45309</v>
      </c>
      <c r="M168" s="6">
        <v>38.57</v>
      </c>
      <c r="N168" s="23" t="str">
        <f>MID(BancosMesclados[[#This Row],[CodCliente]],1,SEARCH("_",BancosMesclados[[#This Row],[CodCliente]])-1)</f>
        <v>Itau</v>
      </c>
    </row>
    <row r="169" spans="1:14" x14ac:dyDescent="0.4">
      <c r="A169" s="23" t="s">
        <v>181</v>
      </c>
      <c r="B169" s="1">
        <v>45309</v>
      </c>
      <c r="C169" t="s">
        <v>188</v>
      </c>
      <c r="D169">
        <v>599.58000000000004</v>
      </c>
      <c r="G169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69" s="6" t="s">
        <v>159</v>
      </c>
      <c r="I169" s="1">
        <f>BancosMesclados[[#This Row],[Data]]</f>
        <v>45309</v>
      </c>
      <c r="M169" s="6">
        <v>599.58000000000004</v>
      </c>
      <c r="N169" s="23" t="str">
        <f>MID(BancosMesclados[[#This Row],[CodCliente]],1,SEARCH("_",BancosMesclados[[#This Row],[CodCliente]])-1)</f>
        <v>Itau</v>
      </c>
    </row>
    <row r="170" spans="1:14" x14ac:dyDescent="0.4">
      <c r="A170" s="23" t="s">
        <v>181</v>
      </c>
      <c r="B170" s="1">
        <v>45309</v>
      </c>
      <c r="C170" t="s">
        <v>189</v>
      </c>
      <c r="D170">
        <v>453.96</v>
      </c>
      <c r="G170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0" s="6" t="s">
        <v>159</v>
      </c>
      <c r="I170" s="1">
        <f>BancosMesclados[[#This Row],[Data]]</f>
        <v>45309</v>
      </c>
      <c r="M170" s="6">
        <v>453.96</v>
      </c>
      <c r="N170" s="23" t="str">
        <f>MID(BancosMesclados[[#This Row],[CodCliente]],1,SEARCH("_",BancosMesclados[[#This Row],[CodCliente]])-1)</f>
        <v>Itau</v>
      </c>
    </row>
    <row r="171" spans="1:14" x14ac:dyDescent="0.4">
      <c r="A171" s="23" t="s">
        <v>181</v>
      </c>
      <c r="B171" s="1">
        <v>45310</v>
      </c>
      <c r="C171" t="s">
        <v>202</v>
      </c>
      <c r="D171">
        <v>25</v>
      </c>
      <c r="G171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1" s="6" t="s">
        <v>159</v>
      </c>
      <c r="I171" s="1">
        <f>BancosMesclados[[#This Row],[Data]]</f>
        <v>45310</v>
      </c>
      <c r="M171" s="6">
        <v>25</v>
      </c>
      <c r="N171" s="23" t="str">
        <f>MID(BancosMesclados[[#This Row],[CodCliente]],1,SEARCH("_",BancosMesclados[[#This Row],[CodCliente]])-1)</f>
        <v>Itau</v>
      </c>
    </row>
    <row r="172" spans="1:14" x14ac:dyDescent="0.4">
      <c r="A172" s="23" t="s">
        <v>181</v>
      </c>
      <c r="B172" s="1">
        <v>45310</v>
      </c>
      <c r="C172" t="s">
        <v>182</v>
      </c>
      <c r="D172">
        <v>87.32</v>
      </c>
      <c r="G172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2" s="6" t="s">
        <v>159</v>
      </c>
      <c r="I172" s="1">
        <f>BancosMesclados[[#This Row],[Data]]</f>
        <v>45310</v>
      </c>
      <c r="M172" s="6">
        <v>87.32</v>
      </c>
      <c r="N172" s="23" t="str">
        <f>MID(BancosMesclados[[#This Row],[CodCliente]],1,SEARCH("_",BancosMesclados[[#This Row],[CodCliente]])-1)</f>
        <v>Itau</v>
      </c>
    </row>
    <row r="173" spans="1:14" x14ac:dyDescent="0.4">
      <c r="A173" s="23" t="s">
        <v>181</v>
      </c>
      <c r="B173" s="1">
        <v>45310</v>
      </c>
      <c r="C173" t="s">
        <v>183</v>
      </c>
      <c r="D173">
        <v>165.18</v>
      </c>
      <c r="G173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3" s="6" t="s">
        <v>159</v>
      </c>
      <c r="I173" s="1">
        <f>BancosMesclados[[#This Row],[Data]]</f>
        <v>45310</v>
      </c>
      <c r="M173" s="6">
        <v>165.18</v>
      </c>
      <c r="N173" s="23" t="str">
        <f>MID(BancosMesclados[[#This Row],[CodCliente]],1,SEARCH("_",BancosMesclados[[#This Row],[CodCliente]])-1)</f>
        <v>Itau</v>
      </c>
    </row>
    <row r="174" spans="1:14" x14ac:dyDescent="0.4">
      <c r="A174" s="23" t="s">
        <v>181</v>
      </c>
      <c r="B174" s="1">
        <v>45310</v>
      </c>
      <c r="C174" t="s">
        <v>193</v>
      </c>
      <c r="D174">
        <v>71.38</v>
      </c>
      <c r="G174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4" s="6" t="s">
        <v>159</v>
      </c>
      <c r="I174" s="1">
        <f>BancosMesclados[[#This Row],[Data]]</f>
        <v>45310</v>
      </c>
      <c r="M174" s="6">
        <v>71.38</v>
      </c>
      <c r="N174" s="23" t="str">
        <f>MID(BancosMesclados[[#This Row],[CodCliente]],1,SEARCH("_",BancosMesclados[[#This Row],[CodCliente]])-1)</f>
        <v>Itau</v>
      </c>
    </row>
    <row r="175" spans="1:14" x14ac:dyDescent="0.4">
      <c r="A175" s="23" t="s">
        <v>181</v>
      </c>
      <c r="B175" s="1">
        <v>45310</v>
      </c>
      <c r="C175" t="s">
        <v>189</v>
      </c>
      <c r="D175">
        <v>571.09</v>
      </c>
      <c r="G175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5" s="6" t="s">
        <v>159</v>
      </c>
      <c r="I175" s="1">
        <f>BancosMesclados[[#This Row],[Data]]</f>
        <v>45310</v>
      </c>
      <c r="M175" s="6">
        <v>571.09</v>
      </c>
      <c r="N175" s="23" t="str">
        <f>MID(BancosMesclados[[#This Row],[CodCliente]],1,SEARCH("_",BancosMesclados[[#This Row],[CodCliente]])-1)</f>
        <v>Itau</v>
      </c>
    </row>
    <row r="176" spans="1:14" x14ac:dyDescent="0.4">
      <c r="A176" s="23" t="s">
        <v>181</v>
      </c>
      <c r="B176" s="1">
        <v>45313</v>
      </c>
      <c r="C176" t="s">
        <v>202</v>
      </c>
      <c r="D176">
        <v>61</v>
      </c>
      <c r="G176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6" s="6" t="s">
        <v>159</v>
      </c>
      <c r="I176" s="1">
        <f>BancosMesclados[[#This Row],[Data]]</f>
        <v>45313</v>
      </c>
      <c r="M176" s="6">
        <v>61</v>
      </c>
      <c r="N176" s="23" t="str">
        <f>MID(BancosMesclados[[#This Row],[CodCliente]],1,SEARCH("_",BancosMesclados[[#This Row],[CodCliente]])-1)</f>
        <v>Itau</v>
      </c>
    </row>
    <row r="177" spans="1:14" x14ac:dyDescent="0.4">
      <c r="A177" s="23" t="s">
        <v>181</v>
      </c>
      <c r="B177" s="1">
        <v>45313</v>
      </c>
      <c r="C177" t="s">
        <v>191</v>
      </c>
      <c r="D177">
        <v>-262.2</v>
      </c>
      <c r="G177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7" s="6" t="s">
        <v>159</v>
      </c>
      <c r="I177" s="1">
        <f>BancosMesclados[[#This Row],[Data]]</f>
        <v>45313</v>
      </c>
      <c r="M177" s="6">
        <v>-262.2</v>
      </c>
      <c r="N177" s="23" t="str">
        <f>MID(BancosMesclados[[#This Row],[CodCliente]],1,SEARCH("_",BancosMesclados[[#This Row],[CodCliente]])-1)</f>
        <v>Itau</v>
      </c>
    </row>
    <row r="178" spans="1:14" x14ac:dyDescent="0.4">
      <c r="A178" s="23" t="s">
        <v>181</v>
      </c>
      <c r="B178" s="1">
        <v>45313</v>
      </c>
      <c r="C178" t="s">
        <v>191</v>
      </c>
      <c r="D178" s="29">
        <v>-5000</v>
      </c>
      <c r="G178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8" s="6" t="s">
        <v>159</v>
      </c>
      <c r="I178" s="1">
        <f>BancosMesclados[[#This Row],[Data]]</f>
        <v>45313</v>
      </c>
      <c r="M178" s="6">
        <v>-5000</v>
      </c>
      <c r="N178" s="23" t="str">
        <f>MID(BancosMesclados[[#This Row],[CodCliente]],1,SEARCH("_",BancosMesclados[[#This Row],[CodCliente]])-1)</f>
        <v>Itau</v>
      </c>
    </row>
    <row r="179" spans="1:14" x14ac:dyDescent="0.4">
      <c r="A179" s="23" t="s">
        <v>181</v>
      </c>
      <c r="B179" s="1">
        <v>45313</v>
      </c>
      <c r="C179" t="s">
        <v>182</v>
      </c>
      <c r="D179">
        <v>77.510000000000005</v>
      </c>
      <c r="G179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79" s="6" t="s">
        <v>159</v>
      </c>
      <c r="I179" s="1">
        <f>BancosMesclados[[#This Row],[Data]]</f>
        <v>45313</v>
      </c>
      <c r="M179" s="6">
        <v>77.510000000000005</v>
      </c>
      <c r="N179" s="23" t="str">
        <f>MID(BancosMesclados[[#This Row],[CodCliente]],1,SEARCH("_",BancosMesclados[[#This Row],[CodCliente]])-1)</f>
        <v>Itau</v>
      </c>
    </row>
    <row r="180" spans="1:14" x14ac:dyDescent="0.4">
      <c r="A180" s="23" t="s">
        <v>181</v>
      </c>
      <c r="B180" s="1">
        <v>45313</v>
      </c>
      <c r="C180" t="s">
        <v>183</v>
      </c>
      <c r="D180" s="29">
        <v>1201.74</v>
      </c>
      <c r="G180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0" s="6" t="s">
        <v>159</v>
      </c>
      <c r="I180" s="1">
        <f>BancosMesclados[[#This Row],[Data]]</f>
        <v>45313</v>
      </c>
      <c r="M180" s="6">
        <v>1201.74</v>
      </c>
      <c r="N180" s="23" t="str">
        <f>MID(BancosMesclados[[#This Row],[CodCliente]],1,SEARCH("_",BancosMesclados[[#This Row],[CodCliente]])-1)</f>
        <v>Itau</v>
      </c>
    </row>
    <row r="181" spans="1:14" x14ac:dyDescent="0.4">
      <c r="A181" s="23" t="s">
        <v>181</v>
      </c>
      <c r="B181" s="1">
        <v>45313</v>
      </c>
      <c r="C181" t="s">
        <v>184</v>
      </c>
      <c r="D181">
        <v>263.08999999999997</v>
      </c>
      <c r="G181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1" s="6" t="s">
        <v>159</v>
      </c>
      <c r="I181" s="1">
        <f>BancosMesclados[[#This Row],[Data]]</f>
        <v>45313</v>
      </c>
      <c r="M181" s="6">
        <v>263.08999999999997</v>
      </c>
      <c r="N181" s="23" t="str">
        <f>MID(BancosMesclados[[#This Row],[CodCliente]],1,SEARCH("_",BancosMesclados[[#This Row],[CodCliente]])-1)</f>
        <v>Itau</v>
      </c>
    </row>
    <row r="182" spans="1:14" x14ac:dyDescent="0.4">
      <c r="A182" s="23" t="s">
        <v>181</v>
      </c>
      <c r="B182" s="1">
        <v>45313</v>
      </c>
      <c r="C182" t="s">
        <v>188</v>
      </c>
      <c r="D182">
        <v>679.4</v>
      </c>
      <c r="G182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2" s="6" t="s">
        <v>159</v>
      </c>
      <c r="I182" s="1">
        <f>BancosMesclados[[#This Row],[Data]]</f>
        <v>45313</v>
      </c>
      <c r="M182" s="6">
        <v>679.4</v>
      </c>
      <c r="N182" s="23" t="str">
        <f>MID(BancosMesclados[[#This Row],[CodCliente]],1,SEARCH("_",BancosMesclados[[#This Row],[CodCliente]])-1)</f>
        <v>Itau</v>
      </c>
    </row>
    <row r="183" spans="1:14" x14ac:dyDescent="0.4">
      <c r="A183" s="23" t="s">
        <v>181</v>
      </c>
      <c r="B183" s="1">
        <v>45313</v>
      </c>
      <c r="C183" t="s">
        <v>195</v>
      </c>
      <c r="D183">
        <v>178</v>
      </c>
      <c r="G183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3" s="6" t="s">
        <v>159</v>
      </c>
      <c r="I183" s="1">
        <f>BancosMesclados[[#This Row],[Data]]</f>
        <v>45313</v>
      </c>
      <c r="M183" s="6">
        <v>178</v>
      </c>
      <c r="N183" s="23" t="str">
        <f>MID(BancosMesclados[[#This Row],[CodCliente]],1,SEARCH("_",BancosMesclados[[#This Row],[CodCliente]])-1)</f>
        <v>Itau</v>
      </c>
    </row>
    <row r="184" spans="1:14" x14ac:dyDescent="0.4">
      <c r="A184" s="23" t="s">
        <v>181</v>
      </c>
      <c r="B184" s="1">
        <v>45313</v>
      </c>
      <c r="C184" t="s">
        <v>203</v>
      </c>
      <c r="D184">
        <v>0.03</v>
      </c>
      <c r="G184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4" s="6" t="s">
        <v>159</v>
      </c>
      <c r="I184" s="1">
        <f>BancosMesclados[[#This Row],[Data]]</f>
        <v>45313</v>
      </c>
      <c r="M184" s="6">
        <v>0.03</v>
      </c>
      <c r="N184" s="23" t="str">
        <f>MID(BancosMesclados[[#This Row],[CodCliente]],1,SEARCH("_",BancosMesclados[[#This Row],[CodCliente]])-1)</f>
        <v>Itau</v>
      </c>
    </row>
    <row r="185" spans="1:14" x14ac:dyDescent="0.4">
      <c r="A185" s="23" t="s">
        <v>181</v>
      </c>
      <c r="B185" s="1">
        <v>45314</v>
      </c>
      <c r="C185" t="s">
        <v>202</v>
      </c>
      <c r="D185">
        <v>70.2</v>
      </c>
      <c r="G185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5" s="6" t="s">
        <v>159</v>
      </c>
      <c r="I185" s="1">
        <f>BancosMesclados[[#This Row],[Data]]</f>
        <v>45314</v>
      </c>
      <c r="J185" t="s">
        <v>25</v>
      </c>
      <c r="K185" t="s">
        <v>16</v>
      </c>
      <c r="L185" t="s">
        <v>155</v>
      </c>
      <c r="M185" s="6">
        <v>70.2</v>
      </c>
      <c r="N185" s="23" t="str">
        <f>MID(BancosMesclados[[#This Row],[CodCliente]],1,SEARCH("_",BancosMesclados[[#This Row],[CodCliente]])-1)</f>
        <v>Itau</v>
      </c>
    </row>
    <row r="186" spans="1:14" x14ac:dyDescent="0.4">
      <c r="A186" s="23" t="s">
        <v>181</v>
      </c>
      <c r="B186" s="1">
        <v>45314</v>
      </c>
      <c r="C186" t="s">
        <v>183</v>
      </c>
      <c r="D186">
        <v>496.54</v>
      </c>
      <c r="G186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6" s="6" t="s">
        <v>159</v>
      </c>
      <c r="I186" s="1">
        <f>BancosMesclados[[#This Row],[Data]]</f>
        <v>45314</v>
      </c>
      <c r="J186" t="s">
        <v>15</v>
      </c>
      <c r="K186" t="s">
        <v>16</v>
      </c>
      <c r="L186" t="s">
        <v>155</v>
      </c>
      <c r="M186" s="6">
        <v>496.54</v>
      </c>
      <c r="N186" s="23" t="str">
        <f>MID(BancosMesclados[[#This Row],[CodCliente]],1,SEARCH("_",BancosMesclados[[#This Row],[CodCliente]])-1)</f>
        <v>Itau</v>
      </c>
    </row>
    <row r="187" spans="1:14" x14ac:dyDescent="0.4">
      <c r="A187" s="23" t="s">
        <v>181</v>
      </c>
      <c r="B187" s="1">
        <v>45314</v>
      </c>
      <c r="C187" t="s">
        <v>193</v>
      </c>
      <c r="D187">
        <v>113.06</v>
      </c>
      <c r="G187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7" s="6" t="s">
        <v>159</v>
      </c>
      <c r="I187" s="1">
        <f>BancosMesclados[[#This Row],[Data]]</f>
        <v>45314</v>
      </c>
      <c r="M187" s="6">
        <v>113.06</v>
      </c>
      <c r="N187" s="23" t="str">
        <f>MID(BancosMesclados[[#This Row],[CodCliente]],1,SEARCH("_",BancosMesclados[[#This Row],[CodCliente]])-1)</f>
        <v>Itau</v>
      </c>
    </row>
    <row r="188" spans="1:14" x14ac:dyDescent="0.4">
      <c r="A188" s="23" t="s">
        <v>181</v>
      </c>
      <c r="B188" s="1">
        <v>45314</v>
      </c>
      <c r="C188" t="s">
        <v>188</v>
      </c>
      <c r="D188" s="29">
        <v>2639</v>
      </c>
      <c r="G188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8" s="6" t="s">
        <v>159</v>
      </c>
      <c r="I188" s="1">
        <f>BancosMesclados[[#This Row],[Data]]</f>
        <v>45314</v>
      </c>
      <c r="M188" s="6">
        <v>2639</v>
      </c>
      <c r="N188" s="23" t="str">
        <f>MID(BancosMesclados[[#This Row],[CodCliente]],1,SEARCH("_",BancosMesclados[[#This Row],[CodCliente]])-1)</f>
        <v>Itau</v>
      </c>
    </row>
    <row r="189" spans="1:14" x14ac:dyDescent="0.4">
      <c r="A189" s="23" t="s">
        <v>181</v>
      </c>
      <c r="B189" s="1">
        <v>45314</v>
      </c>
      <c r="C189" t="s">
        <v>189</v>
      </c>
      <c r="D189" s="29">
        <v>1626.7</v>
      </c>
      <c r="G189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89" s="6" t="s">
        <v>159</v>
      </c>
      <c r="I189" s="1">
        <f>BancosMesclados[[#This Row],[Data]]</f>
        <v>45314</v>
      </c>
      <c r="M189" s="6">
        <v>1626.7</v>
      </c>
      <c r="N189" s="23" t="str">
        <f>MID(BancosMesclados[[#This Row],[CodCliente]],1,SEARCH("_",BancosMesclados[[#This Row],[CodCliente]])-1)</f>
        <v>Itau</v>
      </c>
    </row>
    <row r="190" spans="1:14" x14ac:dyDescent="0.4">
      <c r="A190" s="23" t="s">
        <v>181</v>
      </c>
      <c r="B190" s="1">
        <v>45315</v>
      </c>
      <c r="C190" t="s">
        <v>202</v>
      </c>
      <c r="D190">
        <v>68</v>
      </c>
      <c r="G190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0" s="6" t="s">
        <v>159</v>
      </c>
      <c r="I190" s="1">
        <f>BancosMesclados[[#This Row],[Data]]</f>
        <v>45315</v>
      </c>
      <c r="M190" s="6">
        <v>68</v>
      </c>
      <c r="N190" s="23" t="str">
        <f>MID(BancosMesclados[[#This Row],[CodCliente]],1,SEARCH("_",BancosMesclados[[#This Row],[CodCliente]])-1)</f>
        <v>Itau</v>
      </c>
    </row>
    <row r="191" spans="1:14" x14ac:dyDescent="0.4">
      <c r="A191" s="23" t="s">
        <v>181</v>
      </c>
      <c r="B191" s="1">
        <v>45315</v>
      </c>
      <c r="C191" t="s">
        <v>183</v>
      </c>
      <c r="D191">
        <v>607.29999999999995</v>
      </c>
      <c r="G191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1" s="6" t="s">
        <v>159</v>
      </c>
      <c r="I191" s="1">
        <f>BancosMesclados[[#This Row],[Data]]</f>
        <v>45315</v>
      </c>
      <c r="J191" t="s">
        <v>25</v>
      </c>
      <c r="K191" t="s">
        <v>16</v>
      </c>
      <c r="L191" t="s">
        <v>155</v>
      </c>
      <c r="M191" s="6">
        <v>607.29999999999995</v>
      </c>
      <c r="N191" s="23" t="str">
        <f>MID(BancosMesclados[[#This Row],[CodCliente]],1,SEARCH("_",BancosMesclados[[#This Row],[CodCliente]])-1)</f>
        <v>Itau</v>
      </c>
    </row>
    <row r="192" spans="1:14" x14ac:dyDescent="0.4">
      <c r="A192" s="23" t="s">
        <v>181</v>
      </c>
      <c r="B192" s="1">
        <v>45315</v>
      </c>
      <c r="C192" t="s">
        <v>184</v>
      </c>
      <c r="D192">
        <v>314.54000000000002</v>
      </c>
      <c r="G192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2" s="6" t="s">
        <v>159</v>
      </c>
      <c r="I192" s="1">
        <f>BancosMesclados[[#This Row],[Data]]</f>
        <v>45315</v>
      </c>
      <c r="J192" t="s">
        <v>15</v>
      </c>
      <c r="K192" t="s">
        <v>16</v>
      </c>
      <c r="L192" t="s">
        <v>155</v>
      </c>
      <c r="M192" s="6">
        <v>314.54000000000002</v>
      </c>
      <c r="N192" s="23" t="str">
        <f>MID(BancosMesclados[[#This Row],[CodCliente]],1,SEARCH("_",BancosMesclados[[#This Row],[CodCliente]])-1)</f>
        <v>Itau</v>
      </c>
    </row>
    <row r="193" spans="1:14" x14ac:dyDescent="0.4">
      <c r="A193" s="23" t="s">
        <v>181</v>
      </c>
      <c r="B193" s="1">
        <v>45315</v>
      </c>
      <c r="C193" t="s">
        <v>188</v>
      </c>
      <c r="D193">
        <v>421.33</v>
      </c>
      <c r="G193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3" s="6" t="s">
        <v>159</v>
      </c>
      <c r="I193" s="1">
        <f>BancosMesclados[[#This Row],[Data]]</f>
        <v>45315</v>
      </c>
      <c r="M193" s="6">
        <v>421.33</v>
      </c>
      <c r="N193" s="23" t="str">
        <f>MID(BancosMesclados[[#This Row],[CodCliente]],1,SEARCH("_",BancosMesclados[[#This Row],[CodCliente]])-1)</f>
        <v>Itau</v>
      </c>
    </row>
    <row r="194" spans="1:14" x14ac:dyDescent="0.4">
      <c r="A194" s="23" t="s">
        <v>181</v>
      </c>
      <c r="B194" s="1">
        <v>45315</v>
      </c>
      <c r="C194" t="s">
        <v>189</v>
      </c>
      <c r="D194">
        <v>86.95</v>
      </c>
      <c r="G194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4" s="6" t="s">
        <v>159</v>
      </c>
      <c r="I194" s="1">
        <f>BancosMesclados[[#This Row],[Data]]</f>
        <v>45315</v>
      </c>
      <c r="M194" s="6">
        <v>86.95</v>
      </c>
      <c r="N194" s="23" t="str">
        <f>MID(BancosMesclados[[#This Row],[CodCliente]],1,SEARCH("_",BancosMesclados[[#This Row],[CodCliente]])-1)</f>
        <v>Itau</v>
      </c>
    </row>
    <row r="195" spans="1:14" x14ac:dyDescent="0.4">
      <c r="A195" s="23" t="s">
        <v>181</v>
      </c>
      <c r="B195" s="1">
        <v>45316</v>
      </c>
      <c r="C195" t="s">
        <v>202</v>
      </c>
      <c r="D195">
        <v>416</v>
      </c>
      <c r="G195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5" s="6" t="s">
        <v>159</v>
      </c>
      <c r="I195" s="1">
        <f>BancosMesclados[[#This Row],[Data]]</f>
        <v>45316</v>
      </c>
      <c r="M195" s="6">
        <v>416</v>
      </c>
      <c r="N195" s="23" t="str">
        <f>MID(BancosMesclados[[#This Row],[CodCliente]],1,SEARCH("_",BancosMesclados[[#This Row],[CodCliente]])-1)</f>
        <v>Itau</v>
      </c>
    </row>
    <row r="196" spans="1:14" x14ac:dyDescent="0.4">
      <c r="A196" s="23" t="s">
        <v>181</v>
      </c>
      <c r="B196" s="1">
        <v>45316</v>
      </c>
      <c r="C196" t="s">
        <v>183</v>
      </c>
      <c r="D196">
        <v>184.96</v>
      </c>
      <c r="G196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6" s="6" t="s">
        <v>159</v>
      </c>
      <c r="I196" s="1">
        <f>BancosMesclados[[#This Row],[Data]]</f>
        <v>45316</v>
      </c>
      <c r="M196" s="6">
        <v>184.96</v>
      </c>
      <c r="N196" s="23" t="str">
        <f>MID(BancosMesclados[[#This Row],[CodCliente]],1,SEARCH("_",BancosMesclados[[#This Row],[CodCliente]])-1)</f>
        <v>Itau</v>
      </c>
    </row>
    <row r="197" spans="1:14" x14ac:dyDescent="0.4">
      <c r="A197" s="23" t="s">
        <v>181</v>
      </c>
      <c r="B197" s="1">
        <v>45316</v>
      </c>
      <c r="C197" t="s">
        <v>184</v>
      </c>
      <c r="D197">
        <v>170.13</v>
      </c>
      <c r="G197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7" s="6" t="s">
        <v>159</v>
      </c>
      <c r="I197" s="1">
        <f>BancosMesclados[[#This Row],[Data]]</f>
        <v>45316</v>
      </c>
      <c r="M197" s="6">
        <v>170.13</v>
      </c>
      <c r="N197" s="23" t="str">
        <f>MID(BancosMesclados[[#This Row],[CodCliente]],1,SEARCH("_",BancosMesclados[[#This Row],[CodCliente]])-1)</f>
        <v>Itau</v>
      </c>
    </row>
    <row r="198" spans="1:14" x14ac:dyDescent="0.4">
      <c r="A198" s="23" t="s">
        <v>181</v>
      </c>
      <c r="B198" s="1">
        <v>45316</v>
      </c>
      <c r="C198" t="s">
        <v>188</v>
      </c>
      <c r="D198" s="29">
        <v>1861.49</v>
      </c>
      <c r="G198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8" s="6" t="s">
        <v>159</v>
      </c>
      <c r="I198" s="1">
        <f>BancosMesclados[[#This Row],[Data]]</f>
        <v>45316</v>
      </c>
      <c r="M198" s="6">
        <v>1861.49</v>
      </c>
      <c r="N198" s="23" t="str">
        <f>MID(BancosMesclados[[#This Row],[CodCliente]],1,SEARCH("_",BancosMesclados[[#This Row],[CodCliente]])-1)</f>
        <v>Itau</v>
      </c>
    </row>
    <row r="199" spans="1:14" x14ac:dyDescent="0.4">
      <c r="A199" s="23" t="s">
        <v>181</v>
      </c>
      <c r="B199" s="1">
        <v>45316</v>
      </c>
      <c r="C199" t="s">
        <v>189</v>
      </c>
      <c r="D199">
        <v>611.13</v>
      </c>
      <c r="G199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199" s="6" t="s">
        <v>159</v>
      </c>
      <c r="I199" s="1">
        <f>BancosMesclados[[#This Row],[Data]]</f>
        <v>45316</v>
      </c>
      <c r="M199" s="6">
        <v>611.13</v>
      </c>
      <c r="N199" s="23" t="str">
        <f>MID(BancosMesclados[[#This Row],[CodCliente]],1,SEARCH("_",BancosMesclados[[#This Row],[CodCliente]])-1)</f>
        <v>Itau</v>
      </c>
    </row>
    <row r="200" spans="1:14" x14ac:dyDescent="0.4">
      <c r="A200" s="23" t="s">
        <v>181</v>
      </c>
      <c r="B200" s="1">
        <v>45316</v>
      </c>
      <c r="C200" t="s">
        <v>196</v>
      </c>
      <c r="D200">
        <v>39</v>
      </c>
      <c r="G200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0" s="6" t="s">
        <v>159</v>
      </c>
      <c r="I200" s="1">
        <f>BancosMesclados[[#This Row],[Data]]</f>
        <v>45316</v>
      </c>
      <c r="M200" s="6">
        <v>39</v>
      </c>
      <c r="N200" s="23" t="str">
        <f>MID(BancosMesclados[[#This Row],[CodCliente]],1,SEARCH("_",BancosMesclados[[#This Row],[CodCliente]])-1)</f>
        <v>Itau</v>
      </c>
    </row>
    <row r="201" spans="1:14" x14ac:dyDescent="0.4">
      <c r="A201" s="23" t="s">
        <v>181</v>
      </c>
      <c r="B201" s="1">
        <v>45317</v>
      </c>
      <c r="C201" t="s">
        <v>202</v>
      </c>
      <c r="D201">
        <v>306.13</v>
      </c>
      <c r="G201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1" s="6" t="s">
        <v>159</v>
      </c>
      <c r="I201" s="1">
        <f>BancosMesclados[[#This Row],[Data]]</f>
        <v>45317</v>
      </c>
      <c r="J201" t="s">
        <v>25</v>
      </c>
      <c r="K201" t="s">
        <v>16</v>
      </c>
      <c r="L201" t="s">
        <v>155</v>
      </c>
      <c r="M201" s="6">
        <v>306.13</v>
      </c>
      <c r="N201" s="23" t="str">
        <f>MID(BancosMesclados[[#This Row],[CodCliente]],1,SEARCH("_",BancosMesclados[[#This Row],[CodCliente]])-1)</f>
        <v>Itau</v>
      </c>
    </row>
    <row r="202" spans="1:14" x14ac:dyDescent="0.4">
      <c r="A202" s="23" t="s">
        <v>181</v>
      </c>
      <c r="B202" s="1">
        <v>45317</v>
      </c>
      <c r="C202" t="s">
        <v>191</v>
      </c>
      <c r="D202">
        <v>-315</v>
      </c>
      <c r="G202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2" s="6" t="s">
        <v>159</v>
      </c>
      <c r="I202" s="1">
        <f>BancosMesclados[[#This Row],[Data]]</f>
        <v>45317</v>
      </c>
      <c r="M202" s="6">
        <v>-315</v>
      </c>
      <c r="N202" s="23" t="str">
        <f>MID(BancosMesclados[[#This Row],[CodCliente]],1,SEARCH("_",BancosMesclados[[#This Row],[CodCliente]])-1)</f>
        <v>Itau</v>
      </c>
    </row>
    <row r="203" spans="1:14" x14ac:dyDescent="0.4">
      <c r="A203" s="23" t="s">
        <v>181</v>
      </c>
      <c r="B203" s="1">
        <v>45317</v>
      </c>
      <c r="C203" t="s">
        <v>182</v>
      </c>
      <c r="D203" s="29">
        <v>1150.83</v>
      </c>
      <c r="G203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3" s="6" t="s">
        <v>159</v>
      </c>
      <c r="I203" s="1">
        <f>BancosMesclados[[#This Row],[Data]]</f>
        <v>45317</v>
      </c>
      <c r="M203" s="6">
        <v>1150.83</v>
      </c>
      <c r="N203" s="23" t="str">
        <f>MID(BancosMesclados[[#This Row],[CodCliente]],1,SEARCH("_",BancosMesclados[[#This Row],[CodCliente]])-1)</f>
        <v>Itau</v>
      </c>
    </row>
    <row r="204" spans="1:14" x14ac:dyDescent="0.4">
      <c r="A204" s="23" t="s">
        <v>181</v>
      </c>
      <c r="B204" s="1">
        <v>45317</v>
      </c>
      <c r="C204" t="s">
        <v>183</v>
      </c>
      <c r="D204">
        <v>87.04</v>
      </c>
      <c r="G204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4" s="6" t="s">
        <v>159</v>
      </c>
      <c r="I204" s="1">
        <f>BancosMesclados[[#This Row],[Data]]</f>
        <v>45317</v>
      </c>
      <c r="M204" s="6">
        <v>87.04</v>
      </c>
      <c r="N204" s="23" t="str">
        <f>MID(BancosMesclados[[#This Row],[CodCliente]],1,SEARCH("_",BancosMesclados[[#This Row],[CodCliente]])-1)</f>
        <v>Itau</v>
      </c>
    </row>
    <row r="205" spans="1:14" x14ac:dyDescent="0.4">
      <c r="A205" s="23" t="s">
        <v>181</v>
      </c>
      <c r="B205" s="1">
        <v>45317</v>
      </c>
      <c r="C205" t="s">
        <v>188</v>
      </c>
      <c r="D205">
        <v>604.9</v>
      </c>
      <c r="G205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5" s="6" t="s">
        <v>159</v>
      </c>
      <c r="I205" s="1">
        <f>BancosMesclados[[#This Row],[Data]]</f>
        <v>45317</v>
      </c>
      <c r="M205" s="6">
        <v>604.9</v>
      </c>
      <c r="N205" s="23" t="str">
        <f>MID(BancosMesclados[[#This Row],[CodCliente]],1,SEARCH("_",BancosMesclados[[#This Row],[CodCliente]])-1)</f>
        <v>Itau</v>
      </c>
    </row>
    <row r="206" spans="1:14" x14ac:dyDescent="0.4">
      <c r="A206" s="23" t="s">
        <v>181</v>
      </c>
      <c r="B206" s="1">
        <v>45317</v>
      </c>
      <c r="C206" t="s">
        <v>189</v>
      </c>
      <c r="D206">
        <v>104.34</v>
      </c>
      <c r="G206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6" s="6" t="s">
        <v>88</v>
      </c>
      <c r="I206" s="1">
        <f>BancosMesclados[[#This Row],[Data]]</f>
        <v>45317</v>
      </c>
      <c r="J206" t="s">
        <v>91</v>
      </c>
      <c r="K206" t="s">
        <v>93</v>
      </c>
      <c r="L206" t="s">
        <v>94</v>
      </c>
      <c r="M206" s="6">
        <v>104.34</v>
      </c>
      <c r="N206" s="23" t="str">
        <f>MID(BancosMesclados[[#This Row],[CodCliente]],1,SEARCH("_",BancosMesclados[[#This Row],[CodCliente]])-1)</f>
        <v>Itau</v>
      </c>
    </row>
    <row r="207" spans="1:14" x14ac:dyDescent="0.4">
      <c r="A207" s="23" t="s">
        <v>181</v>
      </c>
      <c r="B207" s="1">
        <v>45320</v>
      </c>
      <c r="C207" t="s">
        <v>202</v>
      </c>
      <c r="D207">
        <v>362.54</v>
      </c>
      <c r="G207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7" s="6" t="s">
        <v>88</v>
      </c>
      <c r="I207" s="1">
        <f>BancosMesclados[[#This Row],[Data]]</f>
        <v>45320</v>
      </c>
      <c r="J207" t="s">
        <v>75</v>
      </c>
      <c r="K207" t="s">
        <v>18</v>
      </c>
      <c r="L207" t="s">
        <v>96</v>
      </c>
      <c r="M207" s="6">
        <v>362.54</v>
      </c>
      <c r="N207" s="23" t="str">
        <f>MID(BancosMesclados[[#This Row],[CodCliente]],1,SEARCH("_",BancosMesclados[[#This Row],[CodCliente]])-1)</f>
        <v>Itau</v>
      </c>
    </row>
    <row r="208" spans="1:14" x14ac:dyDescent="0.4">
      <c r="A208" s="23" t="s">
        <v>181</v>
      </c>
      <c r="B208" s="1">
        <v>45320</v>
      </c>
      <c r="C208" t="s">
        <v>194</v>
      </c>
      <c r="D208">
        <v>-997</v>
      </c>
      <c r="G208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8" s="6" t="s">
        <v>88</v>
      </c>
      <c r="I208" s="1">
        <f>BancosMesclados[[#This Row],[Data]]</f>
        <v>45320</v>
      </c>
      <c r="J208" t="s">
        <v>91</v>
      </c>
      <c r="K208" t="s">
        <v>93</v>
      </c>
      <c r="L208" t="s">
        <v>94</v>
      </c>
      <c r="M208" s="6">
        <v>-997</v>
      </c>
      <c r="N208" s="23" t="str">
        <f>MID(BancosMesclados[[#This Row],[CodCliente]],1,SEARCH("_",BancosMesclados[[#This Row],[CodCliente]])-1)</f>
        <v>Itau</v>
      </c>
    </row>
    <row r="209" spans="1:14" x14ac:dyDescent="0.4">
      <c r="A209" s="23" t="s">
        <v>181</v>
      </c>
      <c r="B209" s="1">
        <v>45320</v>
      </c>
      <c r="C209" t="s">
        <v>191</v>
      </c>
      <c r="D209">
        <v>-45</v>
      </c>
      <c r="G209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09" s="6" t="s">
        <v>88</v>
      </c>
      <c r="I209" s="1">
        <f>BancosMesclados[[#This Row],[Data]]</f>
        <v>45320</v>
      </c>
      <c r="J209" t="s">
        <v>75</v>
      </c>
      <c r="K209" t="s">
        <v>18</v>
      </c>
      <c r="L209" t="s">
        <v>96</v>
      </c>
      <c r="M209" s="6">
        <v>-45</v>
      </c>
      <c r="N209" s="23" t="str">
        <f>MID(BancosMesclados[[#This Row],[CodCliente]],1,SEARCH("_",BancosMesclados[[#This Row],[CodCliente]])-1)</f>
        <v>Itau</v>
      </c>
    </row>
    <row r="210" spans="1:14" x14ac:dyDescent="0.4">
      <c r="A210" s="23" t="s">
        <v>181</v>
      </c>
      <c r="B210" s="1">
        <v>45320</v>
      </c>
      <c r="C210" t="s">
        <v>182</v>
      </c>
      <c r="D210">
        <v>415</v>
      </c>
      <c r="G210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0" s="6" t="s">
        <v>88</v>
      </c>
      <c r="I210" s="1">
        <f>BancosMesclados[[#This Row],[Data]]</f>
        <v>45320</v>
      </c>
      <c r="J210" t="s">
        <v>91</v>
      </c>
      <c r="K210" t="s">
        <v>93</v>
      </c>
      <c r="L210" t="s">
        <v>94</v>
      </c>
      <c r="M210" s="6">
        <v>415</v>
      </c>
      <c r="N210" s="23" t="str">
        <f>MID(BancosMesclados[[#This Row],[CodCliente]],1,SEARCH("_",BancosMesclados[[#This Row],[CodCliente]])-1)</f>
        <v>Itau</v>
      </c>
    </row>
    <row r="211" spans="1:14" x14ac:dyDescent="0.4">
      <c r="A211" s="23" t="s">
        <v>181</v>
      </c>
      <c r="B211" s="1">
        <v>45320</v>
      </c>
      <c r="C211" t="s">
        <v>183</v>
      </c>
      <c r="D211" s="29">
        <v>1339.24</v>
      </c>
      <c r="G211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1" s="6" t="s">
        <v>88</v>
      </c>
      <c r="I211" s="1">
        <f>BancosMesclados[[#This Row],[Data]]</f>
        <v>45320</v>
      </c>
      <c r="J211" t="s">
        <v>91</v>
      </c>
      <c r="K211" t="s">
        <v>93</v>
      </c>
      <c r="L211" t="s">
        <v>94</v>
      </c>
      <c r="M211" s="6">
        <v>1339.24</v>
      </c>
      <c r="N211" s="23" t="str">
        <f>MID(BancosMesclados[[#This Row],[CodCliente]],1,SEARCH("_",BancosMesclados[[#This Row],[CodCliente]])-1)</f>
        <v>Itau</v>
      </c>
    </row>
    <row r="212" spans="1:14" x14ac:dyDescent="0.4">
      <c r="A212" s="23" t="s">
        <v>181</v>
      </c>
      <c r="B212" s="1">
        <v>45320</v>
      </c>
      <c r="C212" t="s">
        <v>184</v>
      </c>
      <c r="D212">
        <v>165.18</v>
      </c>
      <c r="G212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2" s="6" t="s">
        <v>88</v>
      </c>
      <c r="I212" s="1">
        <f>BancosMesclados[[#This Row],[Data]]</f>
        <v>45320</v>
      </c>
      <c r="J212" t="s">
        <v>75</v>
      </c>
      <c r="K212" t="s">
        <v>18</v>
      </c>
      <c r="L212" t="s">
        <v>96</v>
      </c>
      <c r="M212" s="6">
        <v>165.18</v>
      </c>
      <c r="N212" s="23" t="str">
        <f>MID(BancosMesclados[[#This Row],[CodCliente]],1,SEARCH("_",BancosMesclados[[#This Row],[CodCliente]])-1)</f>
        <v>Itau</v>
      </c>
    </row>
    <row r="213" spans="1:14" x14ac:dyDescent="0.4">
      <c r="A213" s="23" t="s">
        <v>181</v>
      </c>
      <c r="B213" s="1">
        <v>45320</v>
      </c>
      <c r="C213" t="s">
        <v>188</v>
      </c>
      <c r="D213">
        <v>759.81</v>
      </c>
      <c r="G213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3" s="6" t="s">
        <v>88</v>
      </c>
      <c r="I213" s="1">
        <f>BancosMesclados[[#This Row],[Data]]</f>
        <v>45320</v>
      </c>
      <c r="J213" t="s">
        <v>75</v>
      </c>
      <c r="K213" t="s">
        <v>18</v>
      </c>
      <c r="L213" t="s">
        <v>96</v>
      </c>
      <c r="M213" s="6">
        <v>759.81</v>
      </c>
      <c r="N213" s="23" t="str">
        <f>MID(BancosMesclados[[#This Row],[CodCliente]],1,SEARCH("_",BancosMesclados[[#This Row],[CodCliente]])-1)</f>
        <v>Itau</v>
      </c>
    </row>
    <row r="214" spans="1:14" x14ac:dyDescent="0.4">
      <c r="A214" s="23" t="s">
        <v>181</v>
      </c>
      <c r="B214" s="1">
        <v>45320</v>
      </c>
      <c r="C214" t="s">
        <v>189</v>
      </c>
      <c r="D214">
        <v>315.92</v>
      </c>
      <c r="G214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4" s="6" t="s">
        <v>88</v>
      </c>
      <c r="I214" s="1">
        <f>BancosMesclados[[#This Row],[Data]]</f>
        <v>45320</v>
      </c>
      <c r="J214" t="s">
        <v>75</v>
      </c>
      <c r="K214" t="s">
        <v>18</v>
      </c>
      <c r="L214" t="s">
        <v>96</v>
      </c>
      <c r="M214" s="6">
        <v>315.92</v>
      </c>
      <c r="N214" s="23" t="str">
        <f>MID(BancosMesclados[[#This Row],[CodCliente]],1,SEARCH("_",BancosMesclados[[#This Row],[CodCliente]])-1)</f>
        <v>Itau</v>
      </c>
    </row>
    <row r="215" spans="1:14" x14ac:dyDescent="0.4">
      <c r="A215" s="23" t="s">
        <v>181</v>
      </c>
      <c r="B215" s="1">
        <v>45320</v>
      </c>
      <c r="C215" t="s">
        <v>197</v>
      </c>
      <c r="D215">
        <v>96</v>
      </c>
      <c r="G215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5" s="6" t="s">
        <v>88</v>
      </c>
      <c r="I215" s="1">
        <f>BancosMesclados[[#This Row],[Data]]</f>
        <v>45320</v>
      </c>
      <c r="J215" t="s">
        <v>55</v>
      </c>
      <c r="K215" t="s">
        <v>51</v>
      </c>
      <c r="L215" t="s">
        <v>156</v>
      </c>
      <c r="M215" s="6">
        <v>96</v>
      </c>
      <c r="N215" s="23" t="str">
        <f>MID(BancosMesclados[[#This Row],[CodCliente]],1,SEARCH("_",BancosMesclados[[#This Row],[CodCliente]])-1)</f>
        <v>Itau</v>
      </c>
    </row>
    <row r="216" spans="1:14" x14ac:dyDescent="0.4">
      <c r="A216" s="23" t="s">
        <v>181</v>
      </c>
      <c r="B216" s="1">
        <v>45321</v>
      </c>
      <c r="C216" t="s">
        <v>202</v>
      </c>
      <c r="D216">
        <v>205</v>
      </c>
      <c r="G216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6" s="6" t="s">
        <v>88</v>
      </c>
      <c r="I216" s="1">
        <f>BancosMesclados[[#This Row],[Data]]</f>
        <v>45321</v>
      </c>
      <c r="J216" t="s">
        <v>91</v>
      </c>
      <c r="K216" t="s">
        <v>93</v>
      </c>
      <c r="L216" t="s">
        <v>94</v>
      </c>
      <c r="M216" s="6">
        <v>205</v>
      </c>
      <c r="N216" s="23" t="str">
        <f>MID(BancosMesclados[[#This Row],[CodCliente]],1,SEARCH("_",BancosMesclados[[#This Row],[CodCliente]])-1)</f>
        <v>Itau</v>
      </c>
    </row>
    <row r="217" spans="1:14" x14ac:dyDescent="0.4">
      <c r="A217" s="23" t="s">
        <v>181</v>
      </c>
      <c r="B217" s="1">
        <v>45321</v>
      </c>
      <c r="C217" t="s">
        <v>188</v>
      </c>
      <c r="D217" s="29">
        <v>1934.59</v>
      </c>
      <c r="G217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7" s="6" t="s">
        <v>88</v>
      </c>
      <c r="I217" s="1">
        <f>BancosMesclados[[#This Row],[Data]]</f>
        <v>45321</v>
      </c>
      <c r="J217" t="s">
        <v>91</v>
      </c>
      <c r="K217" t="s">
        <v>93</v>
      </c>
      <c r="L217" t="s">
        <v>94</v>
      </c>
      <c r="M217" s="6">
        <v>1934.59</v>
      </c>
      <c r="N217" s="23" t="str">
        <f>MID(BancosMesclados[[#This Row],[CodCliente]],1,SEARCH("_",BancosMesclados[[#This Row],[CodCliente]])-1)</f>
        <v>Itau</v>
      </c>
    </row>
    <row r="218" spans="1:14" x14ac:dyDescent="0.4">
      <c r="A218" s="23" t="s">
        <v>181</v>
      </c>
      <c r="B218" s="1">
        <v>45321</v>
      </c>
      <c r="C218" t="s">
        <v>189</v>
      </c>
      <c r="D218" s="29">
        <v>1410.63</v>
      </c>
      <c r="G218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8" s="6" t="s">
        <v>88</v>
      </c>
      <c r="I218" s="1">
        <f>BancosMesclados[[#This Row],[Data]]</f>
        <v>45321</v>
      </c>
      <c r="J218" t="s">
        <v>20</v>
      </c>
      <c r="K218" t="s">
        <v>18</v>
      </c>
      <c r="L218" t="s">
        <v>156</v>
      </c>
      <c r="M218" s="6">
        <v>1410.63</v>
      </c>
      <c r="N218" s="23" t="str">
        <f>MID(BancosMesclados[[#This Row],[CodCliente]],1,SEARCH("_",BancosMesclados[[#This Row],[CodCliente]])-1)</f>
        <v>Itau</v>
      </c>
    </row>
    <row r="219" spans="1:14" x14ac:dyDescent="0.4">
      <c r="A219" s="23" t="s">
        <v>181</v>
      </c>
      <c r="B219" s="1">
        <v>45322</v>
      </c>
      <c r="C219" t="s">
        <v>202</v>
      </c>
      <c r="D219">
        <v>88</v>
      </c>
      <c r="G219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19" s="6" t="s">
        <v>88</v>
      </c>
      <c r="I219" s="1">
        <f>BancosMesclados[[#This Row],[Data]]</f>
        <v>45322</v>
      </c>
      <c r="J219" t="s">
        <v>20</v>
      </c>
      <c r="K219" t="s">
        <v>18</v>
      </c>
      <c r="L219" t="s">
        <v>156</v>
      </c>
      <c r="M219" s="6">
        <v>88</v>
      </c>
      <c r="N219" s="23" t="str">
        <f>MID(BancosMesclados[[#This Row],[CodCliente]],1,SEARCH("_",BancosMesclados[[#This Row],[CodCliente]])-1)</f>
        <v>Itau</v>
      </c>
    </row>
    <row r="220" spans="1:14" x14ac:dyDescent="0.4">
      <c r="A220" s="23" t="s">
        <v>181</v>
      </c>
      <c r="B220" s="1">
        <v>45322</v>
      </c>
      <c r="C220" t="s">
        <v>198</v>
      </c>
      <c r="D220">
        <v>-112.06</v>
      </c>
      <c r="G220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20" s="6" t="s">
        <v>88</v>
      </c>
      <c r="I220" s="1">
        <f>BancosMesclados[[#This Row],[Data]]</f>
        <v>45322</v>
      </c>
      <c r="J220" t="s">
        <v>91</v>
      </c>
      <c r="K220" t="s">
        <v>93</v>
      </c>
      <c r="L220" t="s">
        <v>94</v>
      </c>
      <c r="M220" s="6">
        <v>-112.06</v>
      </c>
      <c r="N220" s="23" t="str">
        <f>MID(BancosMesclados[[#This Row],[CodCliente]],1,SEARCH("_",BancosMesclados[[#This Row],[CodCliente]])-1)</f>
        <v>Itau</v>
      </c>
    </row>
    <row r="221" spans="1:14" x14ac:dyDescent="0.4">
      <c r="A221" s="23" t="s">
        <v>181</v>
      </c>
      <c r="B221" s="1">
        <v>45322</v>
      </c>
      <c r="C221" t="s">
        <v>191</v>
      </c>
      <c r="D221" s="29">
        <v>-5000</v>
      </c>
      <c r="G221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21" s="6" t="s">
        <v>88</v>
      </c>
      <c r="I221" s="1">
        <f>BancosMesclados[[#This Row],[Data]]</f>
        <v>45322</v>
      </c>
      <c r="J221" t="s">
        <v>20</v>
      </c>
      <c r="K221" t="s">
        <v>18</v>
      </c>
      <c r="L221" t="s">
        <v>156</v>
      </c>
      <c r="M221" s="6">
        <v>-5000</v>
      </c>
      <c r="N221" s="23" t="str">
        <f>MID(BancosMesclados[[#This Row],[CodCliente]],1,SEARCH("_",BancosMesclados[[#This Row],[CodCliente]])-1)</f>
        <v>Itau</v>
      </c>
    </row>
    <row r="222" spans="1:14" x14ac:dyDescent="0.4">
      <c r="A222" s="23" t="s">
        <v>181</v>
      </c>
      <c r="B222" s="1">
        <v>45322</v>
      </c>
      <c r="C222" t="s">
        <v>183</v>
      </c>
      <c r="D222">
        <v>156.28</v>
      </c>
      <c r="G222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22" s="6" t="s">
        <v>88</v>
      </c>
      <c r="I222" s="1">
        <f>BancosMesclados[[#This Row],[Data]]</f>
        <v>45322</v>
      </c>
      <c r="J222" t="s">
        <v>60</v>
      </c>
      <c r="K222" t="s">
        <v>51</v>
      </c>
      <c r="L222" t="s">
        <v>161</v>
      </c>
      <c r="M222" s="6">
        <v>156.28</v>
      </c>
      <c r="N222" s="23" t="str">
        <f>MID(BancosMesclados[[#This Row],[CodCliente]],1,SEARCH("_",BancosMesclados[[#This Row],[CodCliente]])-1)</f>
        <v>Itau</v>
      </c>
    </row>
    <row r="223" spans="1:14" x14ac:dyDescent="0.4">
      <c r="A223" s="23" t="s">
        <v>181</v>
      </c>
      <c r="B223" s="1">
        <v>45322</v>
      </c>
      <c r="C223" t="s">
        <v>184</v>
      </c>
      <c r="D223">
        <v>77.150000000000006</v>
      </c>
      <c r="G223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23" s="6" t="s">
        <v>88</v>
      </c>
      <c r="I223" s="1">
        <f>BancosMesclados[[#This Row],[Data]]</f>
        <v>45322</v>
      </c>
      <c r="J223" t="s">
        <v>20</v>
      </c>
      <c r="K223" t="s">
        <v>18</v>
      </c>
      <c r="L223" t="s">
        <v>156</v>
      </c>
      <c r="M223" s="6">
        <v>77.150000000000006</v>
      </c>
      <c r="N223" s="23" t="str">
        <f>MID(BancosMesclados[[#This Row],[CodCliente]],1,SEARCH("_",BancosMesclados[[#This Row],[CodCliente]])-1)</f>
        <v>Itau</v>
      </c>
    </row>
    <row r="224" spans="1:14" x14ac:dyDescent="0.4">
      <c r="A224" s="23" t="s">
        <v>181</v>
      </c>
      <c r="B224" s="1">
        <v>45322</v>
      </c>
      <c r="C224" t="s">
        <v>188</v>
      </c>
      <c r="D224">
        <v>151.68</v>
      </c>
      <c r="G224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24" s="6" t="s">
        <v>88</v>
      </c>
      <c r="I224" s="1">
        <f>BancosMesclados[[#This Row],[Data]]</f>
        <v>45322</v>
      </c>
      <c r="J224" t="s">
        <v>91</v>
      </c>
      <c r="K224" t="s">
        <v>93</v>
      </c>
      <c r="L224" t="s">
        <v>94</v>
      </c>
      <c r="M224" s="6">
        <v>151.68</v>
      </c>
      <c r="N224" s="23" t="str">
        <f>MID(BancosMesclados[[#This Row],[CodCliente]],1,SEARCH("_",BancosMesclados[[#This Row],[CodCliente]])-1)</f>
        <v>Itau</v>
      </c>
    </row>
    <row r="225" spans="1:14" x14ac:dyDescent="0.4">
      <c r="A225" s="23" t="s">
        <v>181</v>
      </c>
      <c r="B225" s="1">
        <v>45322</v>
      </c>
      <c r="C225" t="s">
        <v>189</v>
      </c>
      <c r="D225">
        <v>47.34</v>
      </c>
      <c r="G225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25" s="6" t="s">
        <v>88</v>
      </c>
      <c r="I225" s="1">
        <f>BancosMesclados[[#This Row],[Data]]</f>
        <v>45322</v>
      </c>
      <c r="J225" t="s">
        <v>91</v>
      </c>
      <c r="K225" t="s">
        <v>93</v>
      </c>
      <c r="L225" t="s">
        <v>94</v>
      </c>
      <c r="M225" s="6">
        <v>47.34</v>
      </c>
      <c r="N225" s="23" t="str">
        <f>MID(BancosMesclados[[#This Row],[CodCliente]],1,SEARCH("_",BancosMesclados[[#This Row],[CodCliente]])-1)</f>
        <v>Itau</v>
      </c>
    </row>
    <row r="226" spans="1:14" x14ac:dyDescent="0.4">
      <c r="A226" s="23" t="s">
        <v>181</v>
      </c>
      <c r="B226" s="1">
        <v>45322</v>
      </c>
      <c r="C226" t="s">
        <v>203</v>
      </c>
      <c r="D226">
        <v>0.18</v>
      </c>
      <c r="G226" s="24" t="str">
        <f>MID(BancosMesclados[[#This Row],[CodCliente]],SEARCH("_",BancosMesclados[[#This Row],[CodCliente]])+1,SEARCH(".",BancosMesclados[[#This Row],[CodCliente]])-SEARCH("_",BancosMesclados[[#This Row],[CodCliente]])-1)</f>
        <v>PJ043</v>
      </c>
      <c r="H226" s="6" t="s">
        <v>88</v>
      </c>
      <c r="I226" s="1">
        <f>BancosMesclados[[#This Row],[Data]]</f>
        <v>45322</v>
      </c>
      <c r="J226" t="s">
        <v>75</v>
      </c>
      <c r="K226" t="s">
        <v>18</v>
      </c>
      <c r="L226" t="s">
        <v>96</v>
      </c>
      <c r="M226" s="6">
        <v>0.18</v>
      </c>
      <c r="N226" s="23" t="str">
        <f>MID(BancosMesclados[[#This Row],[CodCliente]],1,SEARCH("_",BancosMesclados[[#This Row],[CodCliente]])-1)</f>
        <v>Itau</v>
      </c>
    </row>
    <row r="227" spans="1:14" x14ac:dyDescent="0.4">
      <c r="A227" s="23" t="s">
        <v>135</v>
      </c>
      <c r="B227" s="1">
        <v>45139</v>
      </c>
      <c r="C227" t="s">
        <v>136</v>
      </c>
      <c r="D227">
        <v>96.99</v>
      </c>
      <c r="G227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27" s="6" t="s">
        <v>88</v>
      </c>
      <c r="I227" s="1">
        <f>BancosMesclados[[#This Row],[Data]]</f>
        <v>45139</v>
      </c>
      <c r="J227" t="s">
        <v>73</v>
      </c>
      <c r="K227" t="s">
        <v>18</v>
      </c>
      <c r="L227" t="s">
        <v>156</v>
      </c>
      <c r="M227" s="6">
        <f>BancosMesclados[[#This Row],[Lançamento]]</f>
        <v>96.99</v>
      </c>
      <c r="N227" s="23" t="str">
        <f>MID(BancosMesclados[[#This Row],[CodCliente]],1,SEARCH("_",BancosMesclados[[#This Row],[CodCliente]])-1)</f>
        <v>PagSeguro</v>
      </c>
    </row>
    <row r="228" spans="1:14" x14ac:dyDescent="0.4">
      <c r="A228" s="23" t="s">
        <v>135</v>
      </c>
      <c r="B228" s="1">
        <v>45140</v>
      </c>
      <c r="C228" t="s">
        <v>137</v>
      </c>
      <c r="D228">
        <v>-173.68</v>
      </c>
      <c r="G228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28" s="6" t="s">
        <v>88</v>
      </c>
      <c r="I228" s="1">
        <f>BancosMesclados[[#This Row],[Data]]</f>
        <v>45140</v>
      </c>
      <c r="J228" t="s">
        <v>34</v>
      </c>
      <c r="K228" t="s">
        <v>33</v>
      </c>
      <c r="L228" t="s">
        <v>155</v>
      </c>
      <c r="M228" s="6">
        <f>BancosMesclados[[#This Row],[Lançamento]]</f>
        <v>-173.68</v>
      </c>
      <c r="N228" s="23" t="str">
        <f>MID(BancosMesclados[[#This Row],[CodCliente]],1,SEARCH("_",BancosMesclados[[#This Row],[CodCliente]])-1)</f>
        <v>PagSeguro</v>
      </c>
    </row>
    <row r="229" spans="1:14" x14ac:dyDescent="0.4">
      <c r="A229" s="23" t="s">
        <v>135</v>
      </c>
      <c r="B229" s="1">
        <v>45140</v>
      </c>
      <c r="C229" t="s">
        <v>136</v>
      </c>
      <c r="D229">
        <v>158.56</v>
      </c>
      <c r="G229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29" s="6" t="s">
        <v>88</v>
      </c>
      <c r="I229" s="1">
        <f>BancosMesclados[[#This Row],[Data]]</f>
        <v>45140</v>
      </c>
      <c r="J229" t="s">
        <v>34</v>
      </c>
      <c r="K229" t="s">
        <v>33</v>
      </c>
      <c r="L229" t="s">
        <v>155</v>
      </c>
      <c r="M229" s="6">
        <f>BancosMesclados[[#This Row],[Lançamento]]</f>
        <v>158.56</v>
      </c>
      <c r="N229" s="23" t="str">
        <f>MID(BancosMesclados[[#This Row],[CodCliente]],1,SEARCH("_",BancosMesclados[[#This Row],[CodCliente]])-1)</f>
        <v>PagSeguro</v>
      </c>
    </row>
    <row r="230" spans="1:14" x14ac:dyDescent="0.4">
      <c r="A230" s="23" t="s">
        <v>135</v>
      </c>
      <c r="B230" s="1">
        <v>45141</v>
      </c>
      <c r="C230" t="s">
        <v>138</v>
      </c>
      <c r="D230">
        <v>-398.99</v>
      </c>
      <c r="G230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0" s="6" t="s">
        <v>88</v>
      </c>
      <c r="I230" s="1">
        <f>BancosMesclados[[#This Row],[Data]]</f>
        <v>45141</v>
      </c>
      <c r="J230" t="s">
        <v>34</v>
      </c>
      <c r="K230" t="s">
        <v>33</v>
      </c>
      <c r="L230" t="s">
        <v>155</v>
      </c>
      <c r="M230" s="6">
        <f>BancosMesclados[[#This Row],[Lançamento]]</f>
        <v>-398.99</v>
      </c>
      <c r="N230" s="23" t="str">
        <f>MID(BancosMesclados[[#This Row],[CodCliente]],1,SEARCH("_",BancosMesclados[[#This Row],[CodCliente]])-1)</f>
        <v>PagSeguro</v>
      </c>
    </row>
    <row r="231" spans="1:14" x14ac:dyDescent="0.4">
      <c r="A231" s="23" t="s">
        <v>135</v>
      </c>
      <c r="B231" s="1">
        <v>45141</v>
      </c>
      <c r="C231" t="s">
        <v>136</v>
      </c>
      <c r="D231">
        <v>317.12</v>
      </c>
      <c r="G231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1" s="6" t="s">
        <v>88</v>
      </c>
      <c r="I231" s="1">
        <f>BancosMesclados[[#This Row],[Data]]</f>
        <v>45141</v>
      </c>
      <c r="J231" t="s">
        <v>34</v>
      </c>
      <c r="K231" t="s">
        <v>33</v>
      </c>
      <c r="L231" t="s">
        <v>155</v>
      </c>
      <c r="M231" s="6">
        <f>BancosMesclados[[#This Row],[Lançamento]]</f>
        <v>317.12</v>
      </c>
      <c r="N231" s="23" t="str">
        <f>MID(BancosMesclados[[#This Row],[CodCliente]],1,SEARCH("_",BancosMesclados[[#This Row],[CodCliente]])-1)</f>
        <v>PagSeguro</v>
      </c>
    </row>
    <row r="232" spans="1:14" x14ac:dyDescent="0.4">
      <c r="A232" s="23" t="s">
        <v>135</v>
      </c>
      <c r="B232" s="1">
        <v>45147</v>
      </c>
      <c r="C232" t="s">
        <v>136</v>
      </c>
      <c r="D232">
        <v>242.47</v>
      </c>
      <c r="G232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2" s="6" t="s">
        <v>88</v>
      </c>
      <c r="I232" s="1">
        <f>BancosMesclados[[#This Row],[Data]]</f>
        <v>45147</v>
      </c>
      <c r="J232" t="s">
        <v>91</v>
      </c>
      <c r="K232" t="s">
        <v>93</v>
      </c>
      <c r="L232" t="s">
        <v>94</v>
      </c>
      <c r="M232" s="6">
        <f>BancosMesclados[[#This Row],[Lançamento]]</f>
        <v>242.47</v>
      </c>
      <c r="N232" s="23" t="str">
        <f>MID(BancosMesclados[[#This Row],[CodCliente]],1,SEARCH("_",BancosMesclados[[#This Row],[CodCliente]])-1)</f>
        <v>PagSeguro</v>
      </c>
    </row>
    <row r="233" spans="1:14" x14ac:dyDescent="0.4">
      <c r="A233" s="23" t="s">
        <v>135</v>
      </c>
      <c r="B233" s="1">
        <v>45148</v>
      </c>
      <c r="C233" t="s">
        <v>139</v>
      </c>
      <c r="D233">
        <v>-242.47</v>
      </c>
      <c r="G233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3" s="6" t="s">
        <v>88</v>
      </c>
      <c r="I233" s="1">
        <f>BancosMesclados[[#This Row],[Data]]</f>
        <v>45148</v>
      </c>
      <c r="J233" t="s">
        <v>91</v>
      </c>
      <c r="K233" t="s">
        <v>93</v>
      </c>
      <c r="L233" t="s">
        <v>94</v>
      </c>
      <c r="M233" s="6">
        <f>BancosMesclados[[#This Row],[Lançamento]]</f>
        <v>-242.47</v>
      </c>
      <c r="N233" s="23" t="str">
        <f>MID(BancosMesclados[[#This Row],[CodCliente]],1,SEARCH("_",BancosMesclados[[#This Row],[CodCliente]])-1)</f>
        <v>PagSeguro</v>
      </c>
    </row>
    <row r="234" spans="1:14" x14ac:dyDescent="0.4">
      <c r="A234" s="23" t="s">
        <v>135</v>
      </c>
      <c r="B234" s="1">
        <v>45149</v>
      </c>
      <c r="C234" t="s">
        <v>140</v>
      </c>
      <c r="D234">
        <v>-352.8</v>
      </c>
      <c r="G234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4" s="6" t="s">
        <v>88</v>
      </c>
      <c r="I234" s="1">
        <f>BancosMesclados[[#This Row],[Data]]</f>
        <v>45149</v>
      </c>
      <c r="J234" t="s">
        <v>91</v>
      </c>
      <c r="K234" t="s">
        <v>93</v>
      </c>
      <c r="L234" t="s">
        <v>94</v>
      </c>
      <c r="M234" s="6">
        <f>BancosMesclados[[#This Row],[Lançamento]]</f>
        <v>-352.8</v>
      </c>
      <c r="N234" s="23" t="str">
        <f>MID(BancosMesclados[[#This Row],[CodCliente]],1,SEARCH("_",BancosMesclados[[#This Row],[CodCliente]])-1)</f>
        <v>PagSeguro</v>
      </c>
    </row>
    <row r="235" spans="1:14" x14ac:dyDescent="0.4">
      <c r="A235" s="23" t="s">
        <v>135</v>
      </c>
      <c r="B235" s="1">
        <v>45149</v>
      </c>
      <c r="C235" t="s">
        <v>141</v>
      </c>
      <c r="D235">
        <v>-1186</v>
      </c>
      <c r="G235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5" s="6" t="s">
        <v>88</v>
      </c>
      <c r="I235" s="1">
        <f>BancosMesclados[[#This Row],[Data]]</f>
        <v>45149</v>
      </c>
      <c r="J235" t="s">
        <v>91</v>
      </c>
      <c r="K235" t="s">
        <v>93</v>
      </c>
      <c r="L235" t="s">
        <v>94</v>
      </c>
      <c r="M235" s="6">
        <f>BancosMesclados[[#This Row],[Lançamento]]</f>
        <v>-1186</v>
      </c>
      <c r="N235" s="23" t="str">
        <f>MID(BancosMesclados[[#This Row],[CodCliente]],1,SEARCH("_",BancosMesclados[[#This Row],[CodCliente]])-1)</f>
        <v>PagSeguro</v>
      </c>
    </row>
    <row r="236" spans="1:14" x14ac:dyDescent="0.4">
      <c r="A236" s="23" t="s">
        <v>135</v>
      </c>
      <c r="B236" s="1">
        <v>45149</v>
      </c>
      <c r="C236" t="s">
        <v>142</v>
      </c>
      <c r="D236">
        <v>-844.5</v>
      </c>
      <c r="G236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6" s="6" t="s">
        <v>88</v>
      </c>
      <c r="I236" s="1">
        <f>BancosMesclados[[#This Row],[Data]]</f>
        <v>45149</v>
      </c>
      <c r="J236" t="s">
        <v>91</v>
      </c>
      <c r="K236" t="s">
        <v>93</v>
      </c>
      <c r="L236" t="s">
        <v>94</v>
      </c>
      <c r="M236" s="6">
        <f>BancosMesclados[[#This Row],[Lançamento]]</f>
        <v>-844.5</v>
      </c>
      <c r="N236" s="23" t="str">
        <f>MID(BancosMesclados[[#This Row],[CodCliente]],1,SEARCH("_",BancosMesclados[[#This Row],[CodCliente]])-1)</f>
        <v>PagSeguro</v>
      </c>
    </row>
    <row r="237" spans="1:14" x14ac:dyDescent="0.4">
      <c r="A237" s="23" t="s">
        <v>135</v>
      </c>
      <c r="B237" s="1">
        <v>45149</v>
      </c>
      <c r="C237" t="s">
        <v>136</v>
      </c>
      <c r="D237">
        <v>1887.8</v>
      </c>
      <c r="G237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7" s="6" t="s">
        <v>88</v>
      </c>
      <c r="I237" s="1">
        <f>BancosMesclados[[#This Row],[Data]]</f>
        <v>45149</v>
      </c>
      <c r="J237" t="s">
        <v>91</v>
      </c>
      <c r="K237" t="s">
        <v>93</v>
      </c>
      <c r="L237" t="s">
        <v>94</v>
      </c>
      <c r="M237" s="6">
        <f>BancosMesclados[[#This Row],[Lançamento]]</f>
        <v>1887.8</v>
      </c>
      <c r="N237" s="23" t="str">
        <f>MID(BancosMesclados[[#This Row],[CodCliente]],1,SEARCH("_",BancosMesclados[[#This Row],[CodCliente]])-1)</f>
        <v>PagSeguro</v>
      </c>
    </row>
    <row r="238" spans="1:14" x14ac:dyDescent="0.4">
      <c r="A238" s="23" t="s">
        <v>135</v>
      </c>
      <c r="B238" s="1">
        <v>45149</v>
      </c>
      <c r="C238" t="s">
        <v>136</v>
      </c>
      <c r="D238">
        <v>495.5</v>
      </c>
      <c r="G238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8" s="6" t="s">
        <v>88</v>
      </c>
      <c r="I238" s="1">
        <f>BancosMesclados[[#This Row],[Data]]</f>
        <v>45149</v>
      </c>
      <c r="J238" t="s">
        <v>34</v>
      </c>
      <c r="K238" t="s">
        <v>33</v>
      </c>
      <c r="L238" t="s">
        <v>155</v>
      </c>
      <c r="M238" s="6">
        <f>BancosMesclados[[#This Row],[Lançamento]]</f>
        <v>495.5</v>
      </c>
      <c r="N238" s="23" t="str">
        <f>MID(BancosMesclados[[#This Row],[CodCliente]],1,SEARCH("_",BancosMesclados[[#This Row],[CodCliente]])-1)</f>
        <v>PagSeguro</v>
      </c>
    </row>
    <row r="239" spans="1:14" x14ac:dyDescent="0.4">
      <c r="A239" s="23" t="s">
        <v>135</v>
      </c>
      <c r="B239" s="1">
        <v>45150</v>
      </c>
      <c r="C239" t="s">
        <v>143</v>
      </c>
      <c r="D239">
        <v>-10.75</v>
      </c>
      <c r="G239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39" s="6" t="s">
        <v>88</v>
      </c>
      <c r="I239" s="1">
        <f>BancosMesclados[[#This Row],[Data]]</f>
        <v>45150</v>
      </c>
      <c r="J239" t="s">
        <v>43</v>
      </c>
      <c r="K239" t="s">
        <v>44</v>
      </c>
      <c r="L239" t="s">
        <v>158</v>
      </c>
      <c r="M239" s="6">
        <f>BancosMesclados[[#This Row],[Lançamento]]</f>
        <v>-10.75</v>
      </c>
      <c r="N239" s="23" t="str">
        <f>MID(BancosMesclados[[#This Row],[CodCliente]],1,SEARCH("_",BancosMesclados[[#This Row],[CodCliente]])-1)</f>
        <v>PagSeguro</v>
      </c>
    </row>
    <row r="240" spans="1:14" x14ac:dyDescent="0.4">
      <c r="A240" s="23" t="s">
        <v>135</v>
      </c>
      <c r="B240" s="1">
        <v>45150</v>
      </c>
      <c r="C240" t="s">
        <v>144</v>
      </c>
      <c r="D240">
        <v>-200</v>
      </c>
      <c r="G240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0" s="6" t="s">
        <v>88</v>
      </c>
      <c r="I240" s="1">
        <f>BancosMesclados[[#This Row],[Data]]</f>
        <v>45150</v>
      </c>
      <c r="J240" t="s">
        <v>75</v>
      </c>
      <c r="K240" t="s">
        <v>18</v>
      </c>
      <c r="L240" t="s">
        <v>96</v>
      </c>
      <c r="M240" s="6">
        <f>BancosMesclados[[#This Row],[Lançamento]]</f>
        <v>-200</v>
      </c>
      <c r="N240" s="23" t="str">
        <f>MID(BancosMesclados[[#This Row],[CodCliente]],1,SEARCH("_",BancosMesclados[[#This Row],[CodCliente]])-1)</f>
        <v>PagSeguro</v>
      </c>
    </row>
    <row r="241" spans="1:14" x14ac:dyDescent="0.4">
      <c r="A241" s="23" t="s">
        <v>135</v>
      </c>
      <c r="B241" s="1">
        <v>45150</v>
      </c>
      <c r="C241" t="s">
        <v>136</v>
      </c>
      <c r="D241">
        <v>1468.65</v>
      </c>
      <c r="G241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1" s="6" t="s">
        <v>88</v>
      </c>
      <c r="I241" s="1">
        <f>BancosMesclados[[#This Row],[Data]]</f>
        <v>45150</v>
      </c>
      <c r="J241" t="s">
        <v>73</v>
      </c>
      <c r="K241" t="s">
        <v>18</v>
      </c>
      <c r="L241" t="s">
        <v>156</v>
      </c>
      <c r="M241" s="6">
        <f>BancosMesclados[[#This Row],[Lançamento]]</f>
        <v>1468.65</v>
      </c>
      <c r="N241" s="23" t="str">
        <f>MID(BancosMesclados[[#This Row],[CodCliente]],1,SEARCH("_",BancosMesclados[[#This Row],[CodCliente]])-1)</f>
        <v>PagSeguro</v>
      </c>
    </row>
    <row r="242" spans="1:14" x14ac:dyDescent="0.4">
      <c r="A242" s="23" t="s">
        <v>135</v>
      </c>
      <c r="B242" s="1">
        <v>45151</v>
      </c>
      <c r="C242" t="s">
        <v>145</v>
      </c>
      <c r="D242">
        <v>-10</v>
      </c>
      <c r="G242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2" s="6" t="s">
        <v>88</v>
      </c>
      <c r="I242" s="1">
        <f>BancosMesclados[[#This Row],[Data]]</f>
        <v>45151</v>
      </c>
      <c r="J242" t="s">
        <v>75</v>
      </c>
      <c r="K242" t="s">
        <v>18</v>
      </c>
      <c r="L242" t="s">
        <v>96</v>
      </c>
      <c r="M242" s="6">
        <f>BancosMesclados[[#This Row],[Lançamento]]</f>
        <v>-10</v>
      </c>
      <c r="N242" s="23" t="str">
        <f>MID(BancosMesclados[[#This Row],[CodCliente]],1,SEARCH("_",BancosMesclados[[#This Row],[CodCliente]])-1)</f>
        <v>PagSeguro</v>
      </c>
    </row>
    <row r="243" spans="1:14" x14ac:dyDescent="0.4">
      <c r="A243" s="23" t="s">
        <v>135</v>
      </c>
      <c r="B243" s="1">
        <v>45152</v>
      </c>
      <c r="C243" t="s">
        <v>146</v>
      </c>
      <c r="D243">
        <v>-798.5</v>
      </c>
      <c r="G243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3" s="6" t="s">
        <v>88</v>
      </c>
      <c r="I243" s="1">
        <f>BancosMesclados[[#This Row],[Data]]</f>
        <v>45152</v>
      </c>
      <c r="J243" t="s">
        <v>91</v>
      </c>
      <c r="K243" t="s">
        <v>93</v>
      </c>
      <c r="L243" t="s">
        <v>94</v>
      </c>
      <c r="M243" s="6">
        <f>BancosMesclados[[#This Row],[Lançamento]]</f>
        <v>-798.5</v>
      </c>
      <c r="N243" s="23" t="str">
        <f>MID(BancosMesclados[[#This Row],[CodCliente]],1,SEARCH("_",BancosMesclados[[#This Row],[CodCliente]])-1)</f>
        <v>PagSeguro</v>
      </c>
    </row>
    <row r="244" spans="1:14" x14ac:dyDescent="0.4">
      <c r="A244" s="23" t="s">
        <v>135</v>
      </c>
      <c r="B244" s="1">
        <v>45152</v>
      </c>
      <c r="C244" t="s">
        <v>144</v>
      </c>
      <c r="D244">
        <v>-333.33</v>
      </c>
      <c r="G244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4" s="6" t="s">
        <v>88</v>
      </c>
      <c r="I244" s="1">
        <f>BancosMesclados[[#This Row],[Data]]</f>
        <v>45152</v>
      </c>
      <c r="J244" t="s">
        <v>91</v>
      </c>
      <c r="K244" t="s">
        <v>93</v>
      </c>
      <c r="L244" t="s">
        <v>94</v>
      </c>
      <c r="M244" s="6">
        <f>BancosMesclados[[#This Row],[Lançamento]]</f>
        <v>-333.33</v>
      </c>
      <c r="N244" s="23" t="str">
        <f>MID(BancosMesclados[[#This Row],[CodCliente]],1,SEARCH("_",BancosMesclados[[#This Row],[CodCliente]])-1)</f>
        <v>PagSeguro</v>
      </c>
    </row>
    <row r="245" spans="1:14" x14ac:dyDescent="0.4">
      <c r="A245" s="23" t="s">
        <v>135</v>
      </c>
      <c r="B245" s="1">
        <v>45152</v>
      </c>
      <c r="C245" t="s">
        <v>136</v>
      </c>
      <c r="D245">
        <v>1106.94</v>
      </c>
      <c r="G245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5" s="6" t="s">
        <v>88</v>
      </c>
      <c r="I245" s="1">
        <f>BancosMesclados[[#This Row],[Data]]</f>
        <v>45152</v>
      </c>
      <c r="J245" t="s">
        <v>91</v>
      </c>
      <c r="K245" t="s">
        <v>93</v>
      </c>
      <c r="L245" t="s">
        <v>94</v>
      </c>
      <c r="M245" s="6">
        <f>BancosMesclados[[#This Row],[Lançamento]]</f>
        <v>1106.94</v>
      </c>
      <c r="N245" s="23" t="str">
        <f>MID(BancosMesclados[[#This Row],[CodCliente]],1,SEARCH("_",BancosMesclados[[#This Row],[CodCliente]])-1)</f>
        <v>PagSeguro</v>
      </c>
    </row>
    <row r="246" spans="1:14" x14ac:dyDescent="0.4">
      <c r="A246" s="23" t="s">
        <v>135</v>
      </c>
      <c r="B246" s="1">
        <v>45152</v>
      </c>
      <c r="C246" t="s">
        <v>136</v>
      </c>
      <c r="D246">
        <v>1996.68</v>
      </c>
      <c r="G246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6" s="6" t="s">
        <v>88</v>
      </c>
      <c r="I246" s="1">
        <f>BancosMesclados[[#This Row],[Data]]</f>
        <v>45152</v>
      </c>
      <c r="J246" t="s">
        <v>91</v>
      </c>
      <c r="K246" t="s">
        <v>93</v>
      </c>
      <c r="L246" t="s">
        <v>94</v>
      </c>
      <c r="M246" s="6">
        <f>BancosMesclados[[#This Row],[Lançamento]]</f>
        <v>1996.68</v>
      </c>
      <c r="N246" s="23" t="str">
        <f>MID(BancosMesclados[[#This Row],[CodCliente]],1,SEARCH("_",BancosMesclados[[#This Row],[CodCliente]])-1)</f>
        <v>PagSeguro</v>
      </c>
    </row>
    <row r="247" spans="1:14" x14ac:dyDescent="0.4">
      <c r="A247" s="23" t="s">
        <v>135</v>
      </c>
      <c r="B247" s="1">
        <v>45152</v>
      </c>
      <c r="C247" t="s">
        <v>138</v>
      </c>
      <c r="D247">
        <v>-1227.9000000000001</v>
      </c>
      <c r="G247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7" s="6" t="s">
        <v>88</v>
      </c>
      <c r="I247" s="1">
        <f>BancosMesclados[[#This Row],[Data]]</f>
        <v>45152</v>
      </c>
      <c r="J247" t="s">
        <v>75</v>
      </c>
      <c r="K247" t="s">
        <v>18</v>
      </c>
      <c r="L247" t="s">
        <v>96</v>
      </c>
      <c r="M247" s="6">
        <f>BancosMesclados[[#This Row],[Lançamento]]</f>
        <v>-1227.9000000000001</v>
      </c>
      <c r="N247" s="23" t="str">
        <f>MID(BancosMesclados[[#This Row],[CodCliente]],1,SEARCH("_",BancosMesclados[[#This Row],[CodCliente]])-1)</f>
        <v>PagSeguro</v>
      </c>
    </row>
    <row r="248" spans="1:14" x14ac:dyDescent="0.4">
      <c r="A248" s="23" t="s">
        <v>135</v>
      </c>
      <c r="B248" s="1">
        <v>45152</v>
      </c>
      <c r="C248" t="s">
        <v>147</v>
      </c>
      <c r="D248">
        <v>-20</v>
      </c>
      <c r="G248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8" s="6" t="s">
        <v>88</v>
      </c>
      <c r="I248" s="1">
        <f>BancosMesclados[[#This Row],[Data]]</f>
        <v>45152</v>
      </c>
      <c r="J248" t="s">
        <v>75</v>
      </c>
      <c r="K248" t="s">
        <v>18</v>
      </c>
      <c r="L248" t="s">
        <v>96</v>
      </c>
      <c r="M248" s="6">
        <f>BancosMesclados[[#This Row],[Lançamento]]</f>
        <v>-20</v>
      </c>
      <c r="N248" s="23" t="str">
        <f>MID(BancosMesclados[[#This Row],[CodCliente]],1,SEARCH("_",BancosMesclados[[#This Row],[CodCliente]])-1)</f>
        <v>PagSeguro</v>
      </c>
    </row>
    <row r="249" spans="1:14" x14ac:dyDescent="0.4">
      <c r="A249" s="23" t="s">
        <v>135</v>
      </c>
      <c r="B249" s="1">
        <v>45153</v>
      </c>
      <c r="C249" t="s">
        <v>148</v>
      </c>
      <c r="D249">
        <v>-208.33</v>
      </c>
      <c r="G249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49" s="6" t="s">
        <v>88</v>
      </c>
      <c r="I249" s="1">
        <f>BancosMesclados[[#This Row],[Data]]</f>
        <v>45153</v>
      </c>
      <c r="J249" t="s">
        <v>75</v>
      </c>
      <c r="K249" t="s">
        <v>18</v>
      </c>
      <c r="L249" t="s">
        <v>96</v>
      </c>
      <c r="M249" s="6">
        <f>BancosMesclados[[#This Row],[Lançamento]]</f>
        <v>-208.33</v>
      </c>
      <c r="N249" s="23" t="str">
        <f>MID(BancosMesclados[[#This Row],[CodCliente]],1,SEARCH("_",BancosMesclados[[#This Row],[CodCliente]])-1)</f>
        <v>PagSeguro</v>
      </c>
    </row>
    <row r="250" spans="1:14" x14ac:dyDescent="0.4">
      <c r="A250" s="23" t="s">
        <v>135</v>
      </c>
      <c r="B250" s="1">
        <v>45153</v>
      </c>
      <c r="C250" t="s">
        <v>149</v>
      </c>
      <c r="D250">
        <v>-476.73</v>
      </c>
      <c r="G250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50" s="6" t="s">
        <v>88</v>
      </c>
      <c r="I250" s="1">
        <f>BancosMesclados[[#This Row],[Data]]</f>
        <v>45153</v>
      </c>
      <c r="J250" t="s">
        <v>55</v>
      </c>
      <c r="K250" t="s">
        <v>51</v>
      </c>
      <c r="L250" t="s">
        <v>156</v>
      </c>
      <c r="M250" s="6">
        <f>BancosMesclados[[#This Row],[Lançamento]]</f>
        <v>-476.73</v>
      </c>
      <c r="N250" s="23" t="str">
        <f>MID(BancosMesclados[[#This Row],[CodCliente]],1,SEARCH("_",BancosMesclados[[#This Row],[CodCliente]])-1)</f>
        <v>PagSeguro</v>
      </c>
    </row>
    <row r="251" spans="1:14" x14ac:dyDescent="0.4">
      <c r="A251" s="23" t="s">
        <v>135</v>
      </c>
      <c r="B251" s="1">
        <v>45153</v>
      </c>
      <c r="C251" t="s">
        <v>148</v>
      </c>
      <c r="D251">
        <v>-905.25</v>
      </c>
      <c r="G251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51" s="6" t="s">
        <v>88</v>
      </c>
      <c r="I251" s="1">
        <f>BancosMesclados[[#This Row],[Data]]</f>
        <v>45153</v>
      </c>
      <c r="J251" t="s">
        <v>54</v>
      </c>
      <c r="K251" t="s">
        <v>51</v>
      </c>
      <c r="L251" t="s">
        <v>156</v>
      </c>
      <c r="M251" s="6">
        <f>BancosMesclados[[#This Row],[Lançamento]]</f>
        <v>-905.25</v>
      </c>
      <c r="N251" s="23" t="str">
        <f>MID(BancosMesclados[[#This Row],[CodCliente]],1,SEARCH("_",BancosMesclados[[#This Row],[CodCliente]])-1)</f>
        <v>PagSeguro</v>
      </c>
    </row>
    <row r="252" spans="1:14" x14ac:dyDescent="0.4">
      <c r="A252" s="23" t="s">
        <v>135</v>
      </c>
      <c r="B252" s="1">
        <v>45153</v>
      </c>
      <c r="C252" t="s">
        <v>148</v>
      </c>
      <c r="D252">
        <v>-1249.71</v>
      </c>
      <c r="G252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52" s="6" t="s">
        <v>88</v>
      </c>
      <c r="I252" s="1">
        <f>BancosMesclados[[#This Row],[Data]]</f>
        <v>45153</v>
      </c>
      <c r="J252" t="s">
        <v>91</v>
      </c>
      <c r="K252" t="s">
        <v>93</v>
      </c>
      <c r="L252" t="s">
        <v>94</v>
      </c>
      <c r="M252" s="6">
        <f>BancosMesclados[[#This Row],[Lançamento]]</f>
        <v>-1249.71</v>
      </c>
      <c r="N252" s="23" t="str">
        <f>MID(BancosMesclados[[#This Row],[CodCliente]],1,SEARCH("_",BancosMesclados[[#This Row],[CodCliente]])-1)</f>
        <v>PagSeguro</v>
      </c>
    </row>
    <row r="253" spans="1:14" x14ac:dyDescent="0.4">
      <c r="A253" s="23" t="s">
        <v>135</v>
      </c>
      <c r="B253" s="1">
        <v>45153</v>
      </c>
      <c r="C253" t="s">
        <v>136</v>
      </c>
      <c r="D253">
        <v>921.2</v>
      </c>
      <c r="G253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53" s="6" t="s">
        <v>88</v>
      </c>
      <c r="I253" s="1">
        <f>BancosMesclados[[#This Row],[Data]]</f>
        <v>45153</v>
      </c>
      <c r="J253" t="s">
        <v>20</v>
      </c>
      <c r="K253" t="s">
        <v>18</v>
      </c>
      <c r="L253" t="s">
        <v>156</v>
      </c>
      <c r="M253" s="6">
        <f>BancosMesclados[[#This Row],[Lançamento]]</f>
        <v>921.2</v>
      </c>
      <c r="N253" s="23" t="str">
        <f>MID(BancosMesclados[[#This Row],[CodCliente]],1,SEARCH("_",BancosMesclados[[#This Row],[CodCliente]])-1)</f>
        <v>PagSeguro</v>
      </c>
    </row>
    <row r="254" spans="1:14" x14ac:dyDescent="0.4">
      <c r="A254" s="23" t="s">
        <v>135</v>
      </c>
      <c r="B254" s="1">
        <v>45154</v>
      </c>
      <c r="C254" t="s">
        <v>136</v>
      </c>
      <c r="D254">
        <v>70.78</v>
      </c>
      <c r="G254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54" s="6" t="s">
        <v>88</v>
      </c>
      <c r="I254" s="1">
        <f>BancosMesclados[[#This Row],[Data]]</f>
        <v>45154</v>
      </c>
      <c r="J254" t="s">
        <v>75</v>
      </c>
      <c r="K254" t="s">
        <v>18</v>
      </c>
      <c r="L254" t="s">
        <v>96</v>
      </c>
      <c r="M254" s="6">
        <f>BancosMesclados[[#This Row],[Lançamento]]</f>
        <v>70.78</v>
      </c>
      <c r="N254" s="23" t="str">
        <f>MID(BancosMesclados[[#This Row],[CodCliente]],1,SEARCH("_",BancosMesclados[[#This Row],[CodCliente]])-1)</f>
        <v>PagSeguro</v>
      </c>
    </row>
    <row r="255" spans="1:14" x14ac:dyDescent="0.4">
      <c r="A255" s="23" t="s">
        <v>135</v>
      </c>
      <c r="B255" s="1">
        <v>45154</v>
      </c>
      <c r="C255" t="s">
        <v>136</v>
      </c>
      <c r="D255">
        <v>641.84</v>
      </c>
      <c r="G255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55" s="6" t="s">
        <v>88</v>
      </c>
      <c r="I255" s="1">
        <f>BancosMesclados[[#This Row],[Data]]</f>
        <v>45154</v>
      </c>
      <c r="J255" t="s">
        <v>91</v>
      </c>
      <c r="K255" t="s">
        <v>93</v>
      </c>
      <c r="L255" t="s">
        <v>94</v>
      </c>
      <c r="M255" s="6">
        <f>BancosMesclados[[#This Row],[Lançamento]]</f>
        <v>641.84</v>
      </c>
      <c r="N255" s="23" t="str">
        <f>MID(BancosMesclados[[#This Row],[CodCliente]],1,SEARCH("_",BancosMesclados[[#This Row],[CodCliente]])-1)</f>
        <v>PagSeguro</v>
      </c>
    </row>
    <row r="256" spans="1:14" x14ac:dyDescent="0.4">
      <c r="A256" s="23" t="s">
        <v>135</v>
      </c>
      <c r="B256" s="1">
        <v>45155</v>
      </c>
      <c r="C256" t="s">
        <v>136</v>
      </c>
      <c r="D256">
        <v>1070.6400000000001</v>
      </c>
      <c r="G256" s="24" t="str">
        <f>MID(BancosMesclados[[#This Row],[CodCliente]],SEARCH("_",BancosMesclados[[#This Row],[CodCliente]])+1,SEARCH(".",BancosMesclados[[#This Row],[CodCliente]])-SEARCH("_",BancosMesclados[[#This Row],[CodCliente]])-1)</f>
        <v>PF004</v>
      </c>
      <c r="H256" s="6" t="s">
        <v>88</v>
      </c>
      <c r="I256" s="1">
        <f>BancosMesclados[[#This Row],[Data]]</f>
        <v>45155</v>
      </c>
      <c r="J256" t="s">
        <v>55</v>
      </c>
      <c r="K256" t="s">
        <v>51</v>
      </c>
      <c r="L256" t="s">
        <v>156</v>
      </c>
      <c r="M256" s="6">
        <f>BancosMesclados[[#This Row],[Lançamento]]</f>
        <v>1070.6400000000001</v>
      </c>
      <c r="N256" s="23" t="str">
        <f>MID(BancosMesclados[[#This Row],[CodCliente]],1,SEARCH("_",BancosMesclados[[#This Row],[CodCliente]])-1)</f>
        <v>PagSeguro</v>
      </c>
    </row>
    <row r="257" spans="1:4" x14ac:dyDescent="0.4">
      <c r="A257" s="23" t="s">
        <v>135</v>
      </c>
      <c r="B257" s="1">
        <v>45155</v>
      </c>
      <c r="C257" t="s">
        <v>136</v>
      </c>
      <c r="D257">
        <v>1079.6400000000001</v>
      </c>
    </row>
    <row r="258" spans="1:4" x14ac:dyDescent="0.4">
      <c r="A258" s="23" t="s">
        <v>135</v>
      </c>
      <c r="B258" s="1">
        <v>45155</v>
      </c>
      <c r="C258" t="s">
        <v>136</v>
      </c>
      <c r="D258">
        <v>96.99</v>
      </c>
    </row>
    <row r="259" spans="1:4" x14ac:dyDescent="0.4">
      <c r="A259" s="23" t="s">
        <v>135</v>
      </c>
      <c r="B259" s="1">
        <v>45156</v>
      </c>
      <c r="C259" t="s">
        <v>150</v>
      </c>
      <c r="D259">
        <v>-991.48</v>
      </c>
    </row>
    <row r="260" spans="1:4" x14ac:dyDescent="0.4">
      <c r="A260" s="23" t="s">
        <v>135</v>
      </c>
      <c r="B260" s="1">
        <v>45156</v>
      </c>
      <c r="C260" t="s">
        <v>151</v>
      </c>
      <c r="D260">
        <v>-256.77</v>
      </c>
    </row>
    <row r="261" spans="1:4" x14ac:dyDescent="0.4">
      <c r="A261" s="23" t="s">
        <v>135</v>
      </c>
      <c r="B261" s="1">
        <v>45158</v>
      </c>
      <c r="C261" t="s">
        <v>140</v>
      </c>
      <c r="D261">
        <v>-1619.56</v>
      </c>
    </row>
    <row r="262" spans="1:4" x14ac:dyDescent="0.4">
      <c r="A262" s="23" t="s">
        <v>135</v>
      </c>
      <c r="B262" s="1">
        <v>45158</v>
      </c>
      <c r="C262" t="s">
        <v>147</v>
      </c>
      <c r="D262">
        <v>-123.05</v>
      </c>
    </row>
    <row r="263" spans="1:4" x14ac:dyDescent="0.4">
      <c r="A263" s="23" t="s">
        <v>135</v>
      </c>
      <c r="B263" s="1">
        <v>45159</v>
      </c>
      <c r="C263" t="s">
        <v>140</v>
      </c>
      <c r="D263">
        <v>-1000</v>
      </c>
    </row>
    <row r="264" spans="1:4" x14ac:dyDescent="0.4">
      <c r="A264" s="23" t="s">
        <v>135</v>
      </c>
      <c r="B264" s="1">
        <v>45159</v>
      </c>
      <c r="C264" t="s">
        <v>136</v>
      </c>
      <c r="D264">
        <v>310.37</v>
      </c>
    </row>
    <row r="265" spans="1:4" x14ac:dyDescent="0.4">
      <c r="A265" s="23" t="s">
        <v>135</v>
      </c>
      <c r="B265" s="1">
        <v>45159</v>
      </c>
      <c r="C265" t="s">
        <v>136</v>
      </c>
      <c r="D265">
        <v>594.6</v>
      </c>
    </row>
    <row r="266" spans="1:4" x14ac:dyDescent="0.4">
      <c r="A266" s="23" t="s">
        <v>135</v>
      </c>
      <c r="B266" s="1">
        <v>45159</v>
      </c>
      <c r="C266" t="s">
        <v>136</v>
      </c>
      <c r="D266">
        <v>1080.19</v>
      </c>
    </row>
    <row r="267" spans="1:4" x14ac:dyDescent="0.4">
      <c r="A267" s="23" t="s">
        <v>135</v>
      </c>
      <c r="B267" s="1">
        <v>45159</v>
      </c>
      <c r="C267" t="s">
        <v>136</v>
      </c>
      <c r="D267">
        <v>981.09</v>
      </c>
    </row>
    <row r="268" spans="1:4" x14ac:dyDescent="0.4">
      <c r="A268" s="23" t="s">
        <v>135</v>
      </c>
      <c r="B268" s="1">
        <v>45160</v>
      </c>
      <c r="C268" t="s">
        <v>140</v>
      </c>
      <c r="D268">
        <v>-200</v>
      </c>
    </row>
    <row r="269" spans="1:4" x14ac:dyDescent="0.4">
      <c r="A269" s="23" t="s">
        <v>135</v>
      </c>
      <c r="B269" s="1">
        <v>45160</v>
      </c>
      <c r="C269" t="s">
        <v>140</v>
      </c>
      <c r="D269">
        <v>-300</v>
      </c>
    </row>
    <row r="270" spans="1:4" x14ac:dyDescent="0.4">
      <c r="A270" s="23" t="s">
        <v>135</v>
      </c>
      <c r="B270" s="1">
        <v>45160</v>
      </c>
      <c r="C270" t="s">
        <v>138</v>
      </c>
      <c r="D270">
        <v>-340</v>
      </c>
    </row>
    <row r="271" spans="1:4" x14ac:dyDescent="0.4">
      <c r="A271" s="23" t="s">
        <v>135</v>
      </c>
      <c r="B271" s="1">
        <v>45160</v>
      </c>
      <c r="C271" t="s">
        <v>152</v>
      </c>
      <c r="D271">
        <v>-17.05</v>
      </c>
    </row>
    <row r="272" spans="1:4" x14ac:dyDescent="0.4">
      <c r="A272" s="23" t="s">
        <v>135</v>
      </c>
      <c r="B272" s="1">
        <v>45160</v>
      </c>
      <c r="C272" t="s">
        <v>153</v>
      </c>
      <c r="D272">
        <v>-1033</v>
      </c>
    </row>
    <row r="273" spans="1:4" x14ac:dyDescent="0.4">
      <c r="A273" s="23" t="s">
        <v>135</v>
      </c>
      <c r="B273" s="1">
        <v>45160</v>
      </c>
      <c r="C273" t="s">
        <v>136</v>
      </c>
      <c r="D273">
        <v>1585.6</v>
      </c>
    </row>
    <row r="274" spans="1:4" x14ac:dyDescent="0.4">
      <c r="A274" s="23" t="s">
        <v>135</v>
      </c>
      <c r="B274" s="1">
        <v>45161</v>
      </c>
      <c r="C274" t="s">
        <v>144</v>
      </c>
      <c r="D274">
        <v>-10</v>
      </c>
    </row>
    <row r="275" spans="1:4" x14ac:dyDescent="0.4">
      <c r="A275" s="23" t="s">
        <v>135</v>
      </c>
      <c r="B275" s="1">
        <v>45161</v>
      </c>
      <c r="C275" t="s">
        <v>138</v>
      </c>
      <c r="D275">
        <v>-1000</v>
      </c>
    </row>
    <row r="276" spans="1:4" x14ac:dyDescent="0.4">
      <c r="A276" s="23" t="s">
        <v>135</v>
      </c>
      <c r="B276" s="1">
        <v>45161</v>
      </c>
      <c r="C276" t="s">
        <v>136</v>
      </c>
      <c r="D276">
        <v>1529.49</v>
      </c>
    </row>
    <row r="277" spans="1:4" x14ac:dyDescent="0.4">
      <c r="A277" s="23" t="s">
        <v>135</v>
      </c>
      <c r="B277" s="1">
        <v>45161</v>
      </c>
      <c r="C277" t="s">
        <v>154</v>
      </c>
      <c r="D277">
        <v>-600</v>
      </c>
    </row>
    <row r="278" spans="1:4" x14ac:dyDescent="0.4">
      <c r="B278" s="1"/>
    </row>
  </sheetData>
  <phoneticPr fontId="4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104FB-5BB0-4093-9E64-56193ABE8877}">
  <dimension ref="A3:A114"/>
  <sheetViews>
    <sheetView workbookViewId="0">
      <selection activeCell="A3" sqref="A3"/>
    </sheetView>
  </sheetViews>
  <sheetFormatPr defaultRowHeight="14.6" x14ac:dyDescent="0.4"/>
  <cols>
    <col min="1" max="1" width="16.921875" bestFit="1" customWidth="1"/>
    <col min="2" max="110" width="18.23046875" bestFit="1" customWidth="1"/>
    <col min="111" max="111" width="10" bestFit="1" customWidth="1"/>
  </cols>
  <sheetData>
    <row r="3" spans="1:1" x14ac:dyDescent="0.4">
      <c r="A3" s="30" t="s">
        <v>205</v>
      </c>
    </row>
    <row r="4" spans="1:1" x14ac:dyDescent="0.4">
      <c r="A4" s="31">
        <v>-11100</v>
      </c>
    </row>
    <row r="5" spans="1:1" x14ac:dyDescent="0.4">
      <c r="A5" s="31">
        <v>-5000</v>
      </c>
    </row>
    <row r="6" spans="1:1" x14ac:dyDescent="0.4">
      <c r="A6" s="31">
        <v>-2000</v>
      </c>
    </row>
    <row r="7" spans="1:1" x14ac:dyDescent="0.4">
      <c r="A7" s="31">
        <v>-997</v>
      </c>
    </row>
    <row r="8" spans="1:1" x14ac:dyDescent="0.4">
      <c r="A8" s="31">
        <v>-808.58</v>
      </c>
    </row>
    <row r="9" spans="1:1" x14ac:dyDescent="0.4">
      <c r="A9" s="31">
        <v>-446.3</v>
      </c>
    </row>
    <row r="10" spans="1:1" x14ac:dyDescent="0.4">
      <c r="A10" s="31">
        <v>-320</v>
      </c>
    </row>
    <row r="11" spans="1:1" x14ac:dyDescent="0.4">
      <c r="A11" s="31">
        <v>-315</v>
      </c>
    </row>
    <row r="12" spans="1:1" x14ac:dyDescent="0.4">
      <c r="A12" s="31">
        <v>-262.2</v>
      </c>
    </row>
    <row r="13" spans="1:1" x14ac:dyDescent="0.4">
      <c r="A13" s="31">
        <v>-120</v>
      </c>
    </row>
    <row r="14" spans="1:1" x14ac:dyDescent="0.4">
      <c r="A14" s="31">
        <v>-112.06</v>
      </c>
    </row>
    <row r="15" spans="1:1" x14ac:dyDescent="0.4">
      <c r="A15" s="31">
        <v>-45</v>
      </c>
    </row>
    <row r="16" spans="1:1" x14ac:dyDescent="0.4">
      <c r="A16" s="31">
        <v>0.03</v>
      </c>
    </row>
    <row r="17" spans="1:1" x14ac:dyDescent="0.4">
      <c r="A17" s="31">
        <v>0.13</v>
      </c>
    </row>
    <row r="18" spans="1:1" x14ac:dyDescent="0.4">
      <c r="A18" s="31">
        <v>0.18</v>
      </c>
    </row>
    <row r="19" spans="1:1" x14ac:dyDescent="0.4">
      <c r="A19" s="31">
        <v>2</v>
      </c>
    </row>
    <row r="20" spans="1:1" x14ac:dyDescent="0.4">
      <c r="A20" s="31">
        <v>11.55</v>
      </c>
    </row>
    <row r="21" spans="1:1" x14ac:dyDescent="0.4">
      <c r="A21" s="31">
        <v>20</v>
      </c>
    </row>
    <row r="22" spans="1:1" x14ac:dyDescent="0.4">
      <c r="A22" s="31">
        <v>25</v>
      </c>
    </row>
    <row r="23" spans="1:1" x14ac:dyDescent="0.4">
      <c r="A23" s="31">
        <v>38.57</v>
      </c>
    </row>
    <row r="24" spans="1:1" x14ac:dyDescent="0.4">
      <c r="A24" s="31">
        <v>39</v>
      </c>
    </row>
    <row r="25" spans="1:1" x14ac:dyDescent="0.4">
      <c r="A25" s="31">
        <v>47.34</v>
      </c>
    </row>
    <row r="26" spans="1:1" x14ac:dyDescent="0.4">
      <c r="A26" s="31">
        <v>61</v>
      </c>
    </row>
    <row r="27" spans="1:1" x14ac:dyDescent="0.4">
      <c r="A27" s="31">
        <v>66.709999999999994</v>
      </c>
    </row>
    <row r="28" spans="1:1" x14ac:dyDescent="0.4">
      <c r="A28" s="31">
        <v>68</v>
      </c>
    </row>
    <row r="29" spans="1:1" x14ac:dyDescent="0.4">
      <c r="A29" s="31">
        <v>68.11</v>
      </c>
    </row>
    <row r="30" spans="1:1" x14ac:dyDescent="0.4">
      <c r="A30" s="31">
        <v>70.2</v>
      </c>
    </row>
    <row r="31" spans="1:1" x14ac:dyDescent="0.4">
      <c r="A31" s="31">
        <v>71.38</v>
      </c>
    </row>
    <row r="32" spans="1:1" x14ac:dyDescent="0.4">
      <c r="A32" s="31">
        <v>77.150000000000006</v>
      </c>
    </row>
    <row r="33" spans="1:1" x14ac:dyDescent="0.4">
      <c r="A33" s="31">
        <v>77.510000000000005</v>
      </c>
    </row>
    <row r="34" spans="1:1" x14ac:dyDescent="0.4">
      <c r="A34" s="31">
        <v>85.67</v>
      </c>
    </row>
    <row r="35" spans="1:1" x14ac:dyDescent="0.4">
      <c r="A35" s="31">
        <v>86.95</v>
      </c>
    </row>
    <row r="36" spans="1:1" x14ac:dyDescent="0.4">
      <c r="A36" s="31">
        <v>87.04</v>
      </c>
    </row>
    <row r="37" spans="1:1" x14ac:dyDescent="0.4">
      <c r="A37" s="31">
        <v>87.32</v>
      </c>
    </row>
    <row r="38" spans="1:1" x14ac:dyDescent="0.4">
      <c r="A38" s="31">
        <v>88</v>
      </c>
    </row>
    <row r="39" spans="1:1" x14ac:dyDescent="0.4">
      <c r="A39" s="31">
        <v>89</v>
      </c>
    </row>
    <row r="40" spans="1:1" x14ac:dyDescent="0.4">
      <c r="A40" s="31">
        <v>94.97</v>
      </c>
    </row>
    <row r="41" spans="1:1" x14ac:dyDescent="0.4">
      <c r="A41" s="31">
        <v>96</v>
      </c>
    </row>
    <row r="42" spans="1:1" x14ac:dyDescent="0.4">
      <c r="A42" s="31">
        <v>96.94</v>
      </c>
    </row>
    <row r="43" spans="1:1" x14ac:dyDescent="0.4">
      <c r="A43" s="31">
        <v>99</v>
      </c>
    </row>
    <row r="44" spans="1:1" x14ac:dyDescent="0.4">
      <c r="A44" s="31">
        <v>104.34</v>
      </c>
    </row>
    <row r="45" spans="1:1" x14ac:dyDescent="0.4">
      <c r="A45" s="31">
        <v>105.74</v>
      </c>
    </row>
    <row r="46" spans="1:1" x14ac:dyDescent="0.4">
      <c r="A46" s="31">
        <v>113</v>
      </c>
    </row>
    <row r="47" spans="1:1" x14ac:dyDescent="0.4">
      <c r="A47" s="31">
        <v>113.06</v>
      </c>
    </row>
    <row r="48" spans="1:1" x14ac:dyDescent="0.4">
      <c r="A48" s="31">
        <v>131.55000000000001</v>
      </c>
    </row>
    <row r="49" spans="1:1" x14ac:dyDescent="0.4">
      <c r="A49" s="31">
        <v>146.09</v>
      </c>
    </row>
    <row r="50" spans="1:1" x14ac:dyDescent="0.4">
      <c r="A50" s="31">
        <v>146.31</v>
      </c>
    </row>
    <row r="51" spans="1:1" x14ac:dyDescent="0.4">
      <c r="A51" s="31">
        <v>151.68</v>
      </c>
    </row>
    <row r="52" spans="1:1" x14ac:dyDescent="0.4">
      <c r="A52" s="31">
        <v>156.28</v>
      </c>
    </row>
    <row r="53" spans="1:1" x14ac:dyDescent="0.4">
      <c r="A53" s="31">
        <v>165</v>
      </c>
    </row>
    <row r="54" spans="1:1" x14ac:dyDescent="0.4">
      <c r="A54" s="31">
        <v>165.18</v>
      </c>
    </row>
    <row r="55" spans="1:1" x14ac:dyDescent="0.4">
      <c r="A55" s="31">
        <v>170.13</v>
      </c>
    </row>
    <row r="56" spans="1:1" x14ac:dyDescent="0.4">
      <c r="A56" s="31">
        <v>173</v>
      </c>
    </row>
    <row r="57" spans="1:1" x14ac:dyDescent="0.4">
      <c r="A57" s="31">
        <v>178</v>
      </c>
    </row>
    <row r="58" spans="1:1" x14ac:dyDescent="0.4">
      <c r="A58" s="31">
        <v>182.98</v>
      </c>
    </row>
    <row r="59" spans="1:1" x14ac:dyDescent="0.4">
      <c r="A59" s="31">
        <v>184.96</v>
      </c>
    </row>
    <row r="60" spans="1:1" x14ac:dyDescent="0.4">
      <c r="A60" s="31">
        <v>189.01</v>
      </c>
    </row>
    <row r="61" spans="1:1" x14ac:dyDescent="0.4">
      <c r="A61" s="31">
        <v>205</v>
      </c>
    </row>
    <row r="62" spans="1:1" x14ac:dyDescent="0.4">
      <c r="A62" s="31">
        <v>237</v>
      </c>
    </row>
    <row r="63" spans="1:1" x14ac:dyDescent="0.4">
      <c r="A63" s="31">
        <v>241.52</v>
      </c>
    </row>
    <row r="64" spans="1:1" x14ac:dyDescent="0.4">
      <c r="A64" s="31">
        <v>263.08999999999997</v>
      </c>
    </row>
    <row r="65" spans="1:1" x14ac:dyDescent="0.4">
      <c r="A65" s="31">
        <v>280.5</v>
      </c>
    </row>
    <row r="66" spans="1:1" x14ac:dyDescent="0.4">
      <c r="A66" s="31">
        <v>287.85000000000002</v>
      </c>
    </row>
    <row r="67" spans="1:1" x14ac:dyDescent="0.4">
      <c r="A67" s="31">
        <v>301.07</v>
      </c>
    </row>
    <row r="68" spans="1:1" x14ac:dyDescent="0.4">
      <c r="A68" s="31">
        <v>306</v>
      </c>
    </row>
    <row r="69" spans="1:1" x14ac:dyDescent="0.4">
      <c r="A69" s="31">
        <v>306.13</v>
      </c>
    </row>
    <row r="70" spans="1:1" x14ac:dyDescent="0.4">
      <c r="A70" s="31">
        <v>314.54000000000002</v>
      </c>
    </row>
    <row r="71" spans="1:1" x14ac:dyDescent="0.4">
      <c r="A71" s="31">
        <v>315.92</v>
      </c>
    </row>
    <row r="72" spans="1:1" x14ac:dyDescent="0.4">
      <c r="A72" s="31">
        <v>345.57</v>
      </c>
    </row>
    <row r="73" spans="1:1" x14ac:dyDescent="0.4">
      <c r="A73" s="31">
        <v>362.54</v>
      </c>
    </row>
    <row r="74" spans="1:1" x14ac:dyDescent="0.4">
      <c r="A74" s="31">
        <v>375.49</v>
      </c>
    </row>
    <row r="75" spans="1:1" x14ac:dyDescent="0.4">
      <c r="A75" s="31">
        <v>402.73</v>
      </c>
    </row>
    <row r="76" spans="1:1" x14ac:dyDescent="0.4">
      <c r="A76" s="31">
        <v>415</v>
      </c>
    </row>
    <row r="77" spans="1:1" x14ac:dyDescent="0.4">
      <c r="A77" s="31">
        <v>416</v>
      </c>
    </row>
    <row r="78" spans="1:1" x14ac:dyDescent="0.4">
      <c r="A78" s="31">
        <v>421.33</v>
      </c>
    </row>
    <row r="79" spans="1:1" x14ac:dyDescent="0.4">
      <c r="A79" s="31">
        <v>429.39</v>
      </c>
    </row>
    <row r="80" spans="1:1" x14ac:dyDescent="0.4">
      <c r="A80" s="31">
        <v>440</v>
      </c>
    </row>
    <row r="81" spans="1:1" x14ac:dyDescent="0.4">
      <c r="A81" s="31">
        <v>452</v>
      </c>
    </row>
    <row r="82" spans="1:1" x14ac:dyDescent="0.4">
      <c r="A82" s="31">
        <v>453.96</v>
      </c>
    </row>
    <row r="83" spans="1:1" x14ac:dyDescent="0.4">
      <c r="A83" s="31">
        <v>460.98</v>
      </c>
    </row>
    <row r="84" spans="1:1" x14ac:dyDescent="0.4">
      <c r="A84" s="31">
        <v>462.6</v>
      </c>
    </row>
    <row r="85" spans="1:1" x14ac:dyDescent="0.4">
      <c r="A85" s="31">
        <v>496.54</v>
      </c>
    </row>
    <row r="86" spans="1:1" x14ac:dyDescent="0.4">
      <c r="A86" s="31">
        <v>571.09</v>
      </c>
    </row>
    <row r="87" spans="1:1" x14ac:dyDescent="0.4">
      <c r="A87" s="31">
        <v>593.25</v>
      </c>
    </row>
    <row r="88" spans="1:1" x14ac:dyDescent="0.4">
      <c r="A88" s="31">
        <v>599.58000000000004</v>
      </c>
    </row>
    <row r="89" spans="1:1" x14ac:dyDescent="0.4">
      <c r="A89" s="31">
        <v>604.9</v>
      </c>
    </row>
    <row r="90" spans="1:1" x14ac:dyDescent="0.4">
      <c r="A90" s="31">
        <v>607.29999999999995</v>
      </c>
    </row>
    <row r="91" spans="1:1" x14ac:dyDescent="0.4">
      <c r="A91" s="31">
        <v>611.13</v>
      </c>
    </row>
    <row r="92" spans="1:1" x14ac:dyDescent="0.4">
      <c r="A92" s="31">
        <v>639.04999999999995</v>
      </c>
    </row>
    <row r="93" spans="1:1" x14ac:dyDescent="0.4">
      <c r="A93" s="31">
        <v>679.4</v>
      </c>
    </row>
    <row r="94" spans="1:1" x14ac:dyDescent="0.4">
      <c r="A94" s="31">
        <v>684.18</v>
      </c>
    </row>
    <row r="95" spans="1:1" x14ac:dyDescent="0.4">
      <c r="A95" s="31">
        <v>759.81</v>
      </c>
    </row>
    <row r="96" spans="1:1" x14ac:dyDescent="0.4">
      <c r="A96" s="31">
        <v>835.31</v>
      </c>
    </row>
    <row r="97" spans="1:1" x14ac:dyDescent="0.4">
      <c r="A97" s="31">
        <v>966.37</v>
      </c>
    </row>
    <row r="98" spans="1:1" x14ac:dyDescent="0.4">
      <c r="A98" s="31">
        <v>1082.27</v>
      </c>
    </row>
    <row r="99" spans="1:1" x14ac:dyDescent="0.4">
      <c r="A99" s="31">
        <v>1112.01</v>
      </c>
    </row>
    <row r="100" spans="1:1" x14ac:dyDescent="0.4">
      <c r="A100" s="31">
        <v>1150.83</v>
      </c>
    </row>
    <row r="101" spans="1:1" x14ac:dyDescent="0.4">
      <c r="A101" s="31">
        <v>1172.69</v>
      </c>
    </row>
    <row r="102" spans="1:1" x14ac:dyDescent="0.4">
      <c r="A102" s="31">
        <v>1201.74</v>
      </c>
    </row>
    <row r="103" spans="1:1" x14ac:dyDescent="0.4">
      <c r="A103" s="31">
        <v>1250.47</v>
      </c>
    </row>
    <row r="104" spans="1:1" x14ac:dyDescent="0.4">
      <c r="A104" s="31">
        <v>1252.6300000000001</v>
      </c>
    </row>
    <row r="105" spans="1:1" x14ac:dyDescent="0.4">
      <c r="A105" s="31">
        <v>1262.98</v>
      </c>
    </row>
    <row r="106" spans="1:1" x14ac:dyDescent="0.4">
      <c r="A106" s="31">
        <v>1339.24</v>
      </c>
    </row>
    <row r="107" spans="1:1" x14ac:dyDescent="0.4">
      <c r="A107" s="31">
        <v>1410.63</v>
      </c>
    </row>
    <row r="108" spans="1:1" x14ac:dyDescent="0.4">
      <c r="A108" s="31">
        <v>1626.7</v>
      </c>
    </row>
    <row r="109" spans="1:1" x14ac:dyDescent="0.4">
      <c r="A109" s="31">
        <v>1861.49</v>
      </c>
    </row>
    <row r="110" spans="1:1" x14ac:dyDescent="0.4">
      <c r="A110" s="31">
        <v>1934.59</v>
      </c>
    </row>
    <row r="111" spans="1:1" x14ac:dyDescent="0.4">
      <c r="A111" s="31">
        <v>2304.16</v>
      </c>
    </row>
    <row r="112" spans="1:1" x14ac:dyDescent="0.4">
      <c r="A112" s="31">
        <v>2571.8200000000002</v>
      </c>
    </row>
    <row r="113" spans="1:1" x14ac:dyDescent="0.4">
      <c r="A113" s="31">
        <v>2639</v>
      </c>
    </row>
    <row r="114" spans="1:1" x14ac:dyDescent="0.4">
      <c r="A114" s="31" t="s">
        <v>204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8D87-1CB7-4DF5-A735-292AA627CD74}">
  <sheetPr codeName="Planilha2"/>
  <dimension ref="A1:F170"/>
  <sheetViews>
    <sheetView topLeftCell="A51" workbookViewId="0">
      <selection activeCell="C87" sqref="C87"/>
    </sheetView>
  </sheetViews>
  <sheetFormatPr defaultColWidth="8.84375" defaultRowHeight="14.6" x14ac:dyDescent="0.4"/>
  <cols>
    <col min="1" max="1" width="62.765625" bestFit="1" customWidth="1"/>
    <col min="3" max="3" width="36.15234375" bestFit="1" customWidth="1"/>
    <col min="4" max="4" width="16.4609375" bestFit="1" customWidth="1"/>
    <col min="5" max="5" width="10.4609375" customWidth="1"/>
    <col min="6" max="6" width="17.23046875" customWidth="1"/>
  </cols>
  <sheetData>
    <row r="1" spans="1:6" ht="15" thickBot="1" x14ac:dyDescent="0.45">
      <c r="A1" s="14" t="s">
        <v>12</v>
      </c>
      <c r="B1" s="3"/>
      <c r="C1" s="8" t="s">
        <v>13</v>
      </c>
      <c r="D1" s="9" t="s">
        <v>14</v>
      </c>
      <c r="E1" s="7" t="s">
        <v>84</v>
      </c>
      <c r="F1" s="7" t="s">
        <v>85</v>
      </c>
    </row>
    <row r="2" spans="1:6" ht="15" thickTop="1" x14ac:dyDescent="0.4">
      <c r="A2" s="3" t="s">
        <v>2</v>
      </c>
      <c r="B2" s="3"/>
      <c r="C2" s="10" t="s">
        <v>91</v>
      </c>
      <c r="D2" s="10" t="str">
        <f>_xlfn.XLOOKUP(TabelaTransformada[[#This Row],[Conta]],TabelaCadastroCategorias[Conta],TabelaCadastroCategorias[GrupoConta],"Não encontrado")</f>
        <v>200 - Vendas</v>
      </c>
      <c r="E2" s="10" t="str">
        <f>_xlfn.XLOOKUP(TabelaTransformada[[#This Row],[Conta]],TabelaCadastroCategorias[Conta],TabelaCadastroCategorias[CodConta],"Não encontrado")</f>
        <v>1.1.1</v>
      </c>
      <c r="F2" s="10" t="str">
        <f>_xlfn.XLOOKUP(TabelaTransformada[[#This Row],[Conta]],TabelaCadastroCategorias[Conta],TabelaCadastroCategorias[CodContaContabil],"Não encontrado")</f>
        <v>1.1.1</v>
      </c>
    </row>
    <row r="3" spans="1:6" x14ac:dyDescent="0.4">
      <c r="A3" s="3" t="s">
        <v>3</v>
      </c>
      <c r="B3" s="3"/>
      <c r="C3" s="11" t="s">
        <v>17</v>
      </c>
      <c r="D3" s="11" t="str">
        <f>_xlfn.XLOOKUP(TabelaTransformada[[#This Row],[Conta]],TabelaCadastroCategorias[Conta],TabelaCadastroCategorias[GrupoConta],"Não encontrado")</f>
        <v>100 - Custo Variável</v>
      </c>
      <c r="E3" s="11" t="str">
        <f>_xlfn.XLOOKUP(TabelaTransformada[[#This Row],[Conta]],TabelaCadastroCategorias[Conta],TabelaCadastroCategorias[CodConta],"Não encontrado")</f>
        <v>2.4.1</v>
      </c>
      <c r="F3" s="11" t="str">
        <f>_xlfn.XLOOKUP(TabelaTransformada[[#This Row],[Conta]],TabelaCadastroCategorias[Conta],TabelaCadastroCategorias[CodContaContabil],"Não encontrado")</f>
        <v>2.4.1</v>
      </c>
    </row>
    <row r="4" spans="1:6" x14ac:dyDescent="0.4">
      <c r="A4" s="3" t="s">
        <v>4</v>
      </c>
      <c r="B4" s="3"/>
      <c r="C4" s="10" t="s">
        <v>15</v>
      </c>
      <c r="D4" s="10" t="str">
        <f>_xlfn.XLOOKUP(TabelaTransformada[[#This Row],[Conta]],TabelaCadastroCategorias[Conta],TabelaCadastroCategorias[GrupoConta],"Não encontrado")</f>
        <v>001 - Funcionários</v>
      </c>
      <c r="E4" s="10" t="str">
        <f>_xlfn.XLOOKUP(TabelaTransformada[[#This Row],[Conta]],TabelaCadastroCategorias[Conta],TabelaCadastroCategorias[CodConta],"Não encontrado")</f>
        <v>2.3.3</v>
      </c>
      <c r="F4" s="10" t="str">
        <f>_xlfn.XLOOKUP(TabelaTransformada[[#This Row],[Conta]],TabelaCadastroCategorias[Conta],TabelaCadastroCategorias[CodContaContabil],"Não encontrado")</f>
        <v>2.3.3</v>
      </c>
    </row>
    <row r="5" spans="1:6" x14ac:dyDescent="0.4">
      <c r="A5" s="3" t="s">
        <v>5</v>
      </c>
      <c r="B5" s="3"/>
      <c r="C5" s="11" t="s">
        <v>19</v>
      </c>
      <c r="D5" s="11" t="str">
        <f>_xlfn.XLOOKUP(TabelaTransformada[[#This Row],[Conta]],TabelaCadastroCategorias[Conta],TabelaCadastroCategorias[GrupoConta],"Não encontrado")</f>
        <v>100 - Custo Variável</v>
      </c>
      <c r="E5" s="11" t="str">
        <f>_xlfn.XLOOKUP(TabelaTransformada[[#This Row],[Conta]],TabelaCadastroCategorias[Conta],TabelaCadastroCategorias[CodConta],"Não encontrado")</f>
        <v>2.4.1</v>
      </c>
      <c r="F5" s="11" t="str">
        <f>_xlfn.XLOOKUP(TabelaTransformada[[#This Row],[Conta]],TabelaCadastroCategorias[Conta],TabelaCadastroCategorias[CodContaContabil],"Não encontrado")</f>
        <v>2.4.1</v>
      </c>
    </row>
    <row r="6" spans="1:6" x14ac:dyDescent="0.4">
      <c r="A6" s="3" t="s">
        <v>6</v>
      </c>
      <c r="B6" s="3"/>
      <c r="C6" s="10" t="s">
        <v>22</v>
      </c>
      <c r="D6" s="10" t="str">
        <f>_xlfn.XLOOKUP(TabelaTransformada[[#This Row],[Conta]],TabelaCadastroCategorias[Conta],TabelaCadastroCategorias[GrupoConta],"Não encontrado")</f>
        <v>100 - Custo Variável</v>
      </c>
      <c r="E6" s="10" t="str">
        <f>_xlfn.XLOOKUP(TabelaTransformada[[#This Row],[Conta]],TabelaCadastroCategorias[Conta],TabelaCadastroCategorias[CodConta],"Não encontrado")</f>
        <v>2.4.1</v>
      </c>
      <c r="F6" s="10" t="str">
        <f>_xlfn.XLOOKUP(TabelaTransformada[[#This Row],[Conta]],TabelaCadastroCategorias[Conta],TabelaCadastroCategorias[CodContaContabil],"Não encontrado")</f>
        <v>2.4.1</v>
      </c>
    </row>
    <row r="7" spans="1:6" x14ac:dyDescent="0.4">
      <c r="A7" s="3" t="s">
        <v>7</v>
      </c>
      <c r="B7" s="3"/>
      <c r="C7" s="11" t="s">
        <v>21</v>
      </c>
      <c r="D7" s="11" t="str">
        <f>_xlfn.XLOOKUP(TabelaTransformada[[#This Row],[Conta]],TabelaCadastroCategorias[Conta],TabelaCadastroCategorias[GrupoConta],"Não encontrado")</f>
        <v>100 - Custo Variável</v>
      </c>
      <c r="E7" s="11" t="str">
        <f>_xlfn.XLOOKUP(TabelaTransformada[[#This Row],[Conta]],TabelaCadastroCategorias[Conta],TabelaCadastroCategorias[CodConta],"Não encontrado")</f>
        <v>2.4.1</v>
      </c>
      <c r="F7" s="11" t="str">
        <f>_xlfn.XLOOKUP(TabelaTransformada[[#This Row],[Conta]],TabelaCadastroCategorias[Conta],TabelaCadastroCategorias[CodContaContabil],"Não encontrado")</f>
        <v>2.4.1</v>
      </c>
    </row>
    <row r="8" spans="1:6" x14ac:dyDescent="0.4">
      <c r="A8" s="3" t="s">
        <v>8</v>
      </c>
      <c r="B8" s="3"/>
      <c r="C8" s="10" t="s">
        <v>91</v>
      </c>
      <c r="D8" s="10" t="str">
        <f>_xlfn.XLOOKUP(TabelaTransformada[[#This Row],[Conta]],TabelaCadastroCategorias[Conta],TabelaCadastroCategorias[GrupoConta],"Não encontrado")</f>
        <v>200 - Vendas</v>
      </c>
      <c r="E8" s="10" t="str">
        <f>_xlfn.XLOOKUP(TabelaTransformada[[#This Row],[Conta]],TabelaCadastroCategorias[Conta],TabelaCadastroCategorias[CodConta],"Não encontrado")</f>
        <v>1.1.1</v>
      </c>
      <c r="F8" s="10" t="str">
        <f>_xlfn.XLOOKUP(TabelaTransformada[[#This Row],[Conta]],TabelaCadastroCategorias[Conta],TabelaCadastroCategorias[CodContaContabil],"Não encontrado")</f>
        <v>1.1.1</v>
      </c>
    </row>
    <row r="9" spans="1:6" x14ac:dyDescent="0.4">
      <c r="A9" s="3" t="s">
        <v>9</v>
      </c>
      <c r="B9" s="3"/>
      <c r="C9" s="11" t="s">
        <v>92</v>
      </c>
      <c r="D9" s="11" t="str">
        <f>_xlfn.XLOOKUP(TabelaTransformada[[#This Row],[Conta]],TabelaCadastroCategorias[Conta],TabelaCadastroCategorias[GrupoConta],"Não encontrado")</f>
        <v>200 - Vendas</v>
      </c>
      <c r="E9" s="11" t="str">
        <f>_xlfn.XLOOKUP(TabelaTransformada[[#This Row],[Conta]],TabelaCadastroCategorias[Conta],TabelaCadastroCategorias[CodConta],"Não encontrado")</f>
        <v>1.1.2</v>
      </c>
      <c r="F9" s="11" t="str">
        <f>_xlfn.XLOOKUP(TabelaTransformada[[#This Row],[Conta]],TabelaCadastroCategorias[Conta],TabelaCadastroCategorias[CodContaContabil],"Não encontrado")</f>
        <v>1.1.2</v>
      </c>
    </row>
    <row r="10" spans="1:6" x14ac:dyDescent="0.4">
      <c r="A10" s="3" t="s">
        <v>10</v>
      </c>
      <c r="B10" s="3"/>
      <c r="C10" s="10" t="s">
        <v>92</v>
      </c>
      <c r="D10" s="10" t="str">
        <f>_xlfn.XLOOKUP(TabelaTransformada[[#This Row],[Conta]],TabelaCadastroCategorias[Conta],TabelaCadastroCategorias[GrupoConta],"Não encontrado")</f>
        <v>200 - Vendas</v>
      </c>
      <c r="E10" s="10" t="str">
        <f>_xlfn.XLOOKUP(TabelaTransformada[[#This Row],[Conta]],TabelaCadastroCategorias[Conta],TabelaCadastroCategorias[CodConta],"Não encontrado")</f>
        <v>1.1.2</v>
      </c>
      <c r="F10" s="10" t="str">
        <f>_xlfn.XLOOKUP(TabelaTransformada[[#This Row],[Conta]],TabelaCadastroCategorias[Conta],TabelaCadastroCategorias[CodContaContabil],"Não encontrado")</f>
        <v>1.1.2</v>
      </c>
    </row>
    <row r="11" spans="1:6" x14ac:dyDescent="0.4">
      <c r="A11" s="3" t="s">
        <v>11</v>
      </c>
      <c r="B11" s="3"/>
      <c r="C11" s="11" t="s">
        <v>17</v>
      </c>
      <c r="D11" s="11" t="str">
        <f>_xlfn.XLOOKUP(TabelaTransformada[[#This Row],[Conta]],TabelaCadastroCategorias[Conta],TabelaCadastroCategorias[GrupoConta],"Não encontrado")</f>
        <v>100 - Custo Variável</v>
      </c>
      <c r="E11" s="11" t="str">
        <f>_xlfn.XLOOKUP(TabelaTransformada[[#This Row],[Conta]],TabelaCadastroCategorias[Conta],TabelaCadastroCategorias[CodConta],"Não encontrado")</f>
        <v>2.4.1</v>
      </c>
      <c r="F11" s="11" t="str">
        <f>_xlfn.XLOOKUP(TabelaTransformada[[#This Row],[Conta]],TabelaCadastroCategorias[Conta],TabelaCadastroCategorias[CodContaContabil],"Não encontrado")</f>
        <v>2.4.1</v>
      </c>
    </row>
    <row r="12" spans="1:6" x14ac:dyDescent="0.4">
      <c r="A12" s="18" t="s">
        <v>176</v>
      </c>
      <c r="C12" s="10" t="s">
        <v>92</v>
      </c>
      <c r="D12" s="10" t="str">
        <f>_xlfn.XLOOKUP(TabelaTransformada[[#This Row],[Conta]],TabelaCadastroCategorias[Conta],TabelaCadastroCategorias[GrupoConta],"Não encontrado")</f>
        <v>200 - Vendas</v>
      </c>
      <c r="E12" s="10" t="str">
        <f>_xlfn.XLOOKUP(TabelaTransformada[[#This Row],[Conta]],TabelaCadastroCategorias[Conta],TabelaCadastroCategorias[CodConta],"Não encontrado")</f>
        <v>1.1.2</v>
      </c>
      <c r="F12" s="10" t="str">
        <f>_xlfn.XLOOKUP(TabelaTransformada[[#This Row],[Conta]],TabelaCadastroCategorias[Conta],TabelaCadastroCategorias[CodContaContabil],"Não encontrado")</f>
        <v>1.1.2</v>
      </c>
    </row>
    <row r="13" spans="1:6" x14ac:dyDescent="0.4">
      <c r="A13" s="18" t="s">
        <v>165</v>
      </c>
      <c r="C13" s="11" t="s">
        <v>17</v>
      </c>
      <c r="D13" s="11" t="str">
        <f>_xlfn.XLOOKUP(TabelaTransformada[[#This Row],[Conta]],TabelaCadastroCategorias[Conta],TabelaCadastroCategorias[GrupoConta],"Não encontrado")</f>
        <v>100 - Custo Variável</v>
      </c>
      <c r="E13" s="11" t="str">
        <f>_xlfn.XLOOKUP(TabelaTransformada[[#This Row],[Conta]],TabelaCadastroCategorias[Conta],TabelaCadastroCategorias[CodConta],"Não encontrado")</f>
        <v>2.4.1</v>
      </c>
      <c r="F13" s="11" t="str">
        <f>_xlfn.XLOOKUP(TabelaTransformada[[#This Row],[Conta]],TabelaCadastroCategorias[Conta],TabelaCadastroCategorias[CodContaContabil],"Não encontrado")</f>
        <v>2.4.1</v>
      </c>
    </row>
    <row r="14" spans="1:6" x14ac:dyDescent="0.4">
      <c r="A14" s="18" t="s">
        <v>166</v>
      </c>
      <c r="C14" s="10" t="s">
        <v>21</v>
      </c>
      <c r="D14" s="10" t="str">
        <f>_xlfn.XLOOKUP(TabelaTransformada[[#This Row],[Conta]],TabelaCadastroCategorias[Conta],TabelaCadastroCategorias[GrupoConta],"Não encontrado")</f>
        <v>100 - Custo Variável</v>
      </c>
      <c r="E14" s="10" t="str">
        <f>_xlfn.XLOOKUP(TabelaTransformada[[#This Row],[Conta]],TabelaCadastroCategorias[Conta],TabelaCadastroCategorias[CodConta],"Não encontrado")</f>
        <v>2.4.1</v>
      </c>
      <c r="F14" s="10" t="str">
        <f>_xlfn.XLOOKUP(TabelaTransformada[[#This Row],[Conta]],TabelaCadastroCategorias[Conta],TabelaCadastroCategorias[CodContaContabil],"Não encontrado")</f>
        <v>2.4.1</v>
      </c>
    </row>
    <row r="15" spans="1:6" x14ac:dyDescent="0.4">
      <c r="A15" s="18" t="s">
        <v>167</v>
      </c>
      <c r="C15" s="11" t="s">
        <v>17</v>
      </c>
      <c r="D15" s="11" t="str">
        <f>_xlfn.XLOOKUP(TabelaTransformada[[#This Row],[Conta]],TabelaCadastroCategorias[Conta],TabelaCadastroCategorias[GrupoConta],"Não encontrado")</f>
        <v>100 - Custo Variável</v>
      </c>
      <c r="E15" s="11" t="str">
        <f>_xlfn.XLOOKUP(TabelaTransformada[[#This Row],[Conta]],TabelaCadastroCategorias[Conta],TabelaCadastroCategorias[CodConta],"Não encontrado")</f>
        <v>2.4.1</v>
      </c>
      <c r="F15" s="11" t="str">
        <f>_xlfn.XLOOKUP(TabelaTransformada[[#This Row],[Conta]],TabelaCadastroCategorias[Conta],TabelaCadastroCategorias[CodContaContabil],"Não encontrado")</f>
        <v>2.4.1</v>
      </c>
    </row>
    <row r="16" spans="1:6" x14ac:dyDescent="0.4">
      <c r="A16" s="18" t="s">
        <v>168</v>
      </c>
      <c r="C16" s="10" t="s">
        <v>92</v>
      </c>
      <c r="D16" s="10" t="str">
        <f>_xlfn.XLOOKUP(TabelaTransformada[[#This Row],[Conta]],TabelaCadastroCategorias[Conta],TabelaCadastroCategorias[GrupoConta],"Não encontrado")</f>
        <v>200 - Vendas</v>
      </c>
      <c r="E16" s="10" t="str">
        <f>_xlfn.XLOOKUP(TabelaTransformada[[#This Row],[Conta]],TabelaCadastroCategorias[Conta],TabelaCadastroCategorias[CodConta],"Não encontrado")</f>
        <v>1.1.2</v>
      </c>
      <c r="F16" s="10" t="str">
        <f>_xlfn.XLOOKUP(TabelaTransformada[[#This Row],[Conta]],TabelaCadastroCategorias[Conta],TabelaCadastroCategorias[CodContaContabil],"Não encontrado")</f>
        <v>1.1.2</v>
      </c>
    </row>
    <row r="17" spans="1:6" x14ac:dyDescent="0.4">
      <c r="A17" s="18" t="s">
        <v>164</v>
      </c>
      <c r="C17" s="11" t="s">
        <v>91</v>
      </c>
      <c r="D17" s="11" t="str">
        <f>_xlfn.XLOOKUP(TabelaTransformada[[#This Row],[Conta]],TabelaCadastroCategorias[Conta],TabelaCadastroCategorias[GrupoConta],"Não encontrado")</f>
        <v>200 - Vendas</v>
      </c>
      <c r="E17" s="11" t="str">
        <f>_xlfn.XLOOKUP(TabelaTransformada[[#This Row],[Conta]],TabelaCadastroCategorias[Conta],TabelaCadastroCategorias[CodConta],"Não encontrado")</f>
        <v>1.1.1</v>
      </c>
      <c r="F17" s="11" t="str">
        <f>_xlfn.XLOOKUP(TabelaTransformada[[#This Row],[Conta]],TabelaCadastroCategorias[Conta],TabelaCadastroCategorias[CodContaContabil],"Não encontrado")</f>
        <v>1.1.1</v>
      </c>
    </row>
    <row r="18" spans="1:6" x14ac:dyDescent="0.4">
      <c r="A18" s="18" t="s">
        <v>169</v>
      </c>
      <c r="C18" s="10" t="s">
        <v>41</v>
      </c>
      <c r="D18" s="10" t="str">
        <f>_xlfn.XLOOKUP(TabelaTransformada[[#This Row],[Conta]],TabelaCadastroCategorias[Conta],TabelaCadastroCategorias[GrupoConta],"Não encontrado")</f>
        <v>004 - Manutenção</v>
      </c>
      <c r="E18" s="10" t="str">
        <f>_xlfn.XLOOKUP(TabelaTransformada[[#This Row],[Conta]],TabelaCadastroCategorias[Conta],TabelaCadastroCategorias[CodConta],"Não encontrado")</f>
        <v>2.3.6</v>
      </c>
      <c r="F18" s="10" t="str">
        <f>_xlfn.XLOOKUP(TabelaTransformada[[#This Row],[Conta]],TabelaCadastroCategorias[Conta],TabelaCadastroCategorias[CodContaContabil],"Não encontrado")</f>
        <v>2.3.6</v>
      </c>
    </row>
    <row r="19" spans="1:6" x14ac:dyDescent="0.4">
      <c r="A19" s="18" t="s">
        <v>170</v>
      </c>
      <c r="C19" s="11" t="s">
        <v>50</v>
      </c>
      <c r="D19" s="11" t="str">
        <f>_xlfn.XLOOKUP(TabelaTransformada[[#This Row],[Conta]],TabelaCadastroCategorias[Conta],TabelaCadastroCategorias[GrupoConta],"Não encontrado")</f>
        <v>006 - Operações</v>
      </c>
      <c r="E19" s="11" t="str">
        <f>_xlfn.XLOOKUP(TabelaTransformada[[#This Row],[Conta]],TabelaCadastroCategorias[Conta],TabelaCadastroCategorias[CodConta],"Não encontrado")</f>
        <v>2.4.1</v>
      </c>
      <c r="F19" s="11" t="str">
        <f>_xlfn.XLOOKUP(TabelaTransformada[[#This Row],[Conta]],TabelaCadastroCategorias[Conta],TabelaCadastroCategorias[CodContaContabil],"Não encontrado")</f>
        <v>2.4.1</v>
      </c>
    </row>
    <row r="20" spans="1:6" x14ac:dyDescent="0.4">
      <c r="A20" s="18" t="s">
        <v>171</v>
      </c>
      <c r="C20" s="10" t="s">
        <v>49</v>
      </c>
      <c r="D20" s="10" t="str">
        <f>_xlfn.XLOOKUP(TabelaTransformada[[#This Row],[Conta]],TabelaCadastroCategorias[Conta],TabelaCadastroCategorias[GrupoConta],"Não encontrado")</f>
        <v>005 - Utilidades</v>
      </c>
      <c r="E20" s="10" t="str">
        <f>_xlfn.XLOOKUP(TabelaTransformada[[#This Row],[Conta]],TabelaCadastroCategorias[Conta],TabelaCadastroCategorias[CodConta],"Não encontrado")</f>
        <v>2.3.1</v>
      </c>
      <c r="F20" s="10" t="str">
        <f>_xlfn.XLOOKUP(TabelaTransformada[[#This Row],[Conta]],TabelaCadastroCategorias[Conta],TabelaCadastroCategorias[CodContaContabil],"Não encontrado")</f>
        <v>2.3.1</v>
      </c>
    </row>
    <row r="21" spans="1:6" x14ac:dyDescent="0.4">
      <c r="A21" s="18" t="s">
        <v>172</v>
      </c>
      <c r="C21" s="11" t="s">
        <v>92</v>
      </c>
      <c r="D21" s="11" t="str">
        <f>_xlfn.XLOOKUP(TabelaTransformada[[#This Row],[Conta]],TabelaCadastroCategorias[Conta],TabelaCadastroCategorias[GrupoConta],"Não encontrado")</f>
        <v>200 - Vendas</v>
      </c>
      <c r="E21" s="11" t="str">
        <f>_xlfn.XLOOKUP(TabelaTransformada[[#This Row],[Conta]],TabelaCadastroCategorias[Conta],TabelaCadastroCategorias[CodConta],"Não encontrado")</f>
        <v>1.1.2</v>
      </c>
      <c r="F21" s="11" t="str">
        <f>_xlfn.XLOOKUP(TabelaTransformada[[#This Row],[Conta]],TabelaCadastroCategorias[Conta],TabelaCadastroCategorias[CodContaContabil],"Não encontrado")</f>
        <v>1.1.2</v>
      </c>
    </row>
    <row r="22" spans="1:6" x14ac:dyDescent="0.4">
      <c r="A22" s="18" t="s">
        <v>173</v>
      </c>
      <c r="C22" s="10" t="s">
        <v>91</v>
      </c>
      <c r="D22" s="10" t="str">
        <f>_xlfn.XLOOKUP(TabelaTransformada[[#This Row],[Conta]],TabelaCadastroCategorias[Conta],TabelaCadastroCategorias[GrupoConta],"Não encontrado")</f>
        <v>200 - Vendas</v>
      </c>
      <c r="E22" s="10" t="str">
        <f>_xlfn.XLOOKUP(TabelaTransformada[[#This Row],[Conta]],TabelaCadastroCategorias[Conta],TabelaCadastroCategorias[CodConta],"Não encontrado")</f>
        <v>1.1.1</v>
      </c>
      <c r="F22" s="10" t="str">
        <f>_xlfn.XLOOKUP(TabelaTransformada[[#This Row],[Conta]],TabelaCadastroCategorias[Conta],TabelaCadastroCategorias[CodContaContabil],"Não encontrado")</f>
        <v>1.1.1</v>
      </c>
    </row>
    <row r="23" spans="1:6" x14ac:dyDescent="0.4">
      <c r="A23" s="18" t="s">
        <v>174</v>
      </c>
      <c r="C23" s="11" t="s">
        <v>50</v>
      </c>
      <c r="D23" s="11" t="str">
        <f>_xlfn.XLOOKUP(TabelaTransformada[[#This Row],[Conta]],TabelaCadastroCategorias[Conta],TabelaCadastroCategorias[GrupoConta],"Não encontrado")</f>
        <v>006 - Operações</v>
      </c>
      <c r="E23" s="11" t="str">
        <f>_xlfn.XLOOKUP(TabelaTransformada[[#This Row],[Conta]],TabelaCadastroCategorias[Conta],TabelaCadastroCategorias[CodConta],"Não encontrado")</f>
        <v>2.4.1</v>
      </c>
      <c r="F23" s="11" t="str">
        <f>_xlfn.XLOOKUP(TabelaTransformada[[#This Row],[Conta]],TabelaCadastroCategorias[Conta],TabelaCadastroCategorias[CodContaContabil],"Não encontrado")</f>
        <v>2.4.1</v>
      </c>
    </row>
    <row r="24" spans="1:6" x14ac:dyDescent="0.4">
      <c r="A24" s="18" t="s">
        <v>98</v>
      </c>
      <c r="C24" s="10" t="s">
        <v>55</v>
      </c>
      <c r="D24" s="10" t="str">
        <f>_xlfn.XLOOKUP(TabelaTransformada[[#This Row],[Conta]],TabelaCadastroCategorias[Conta],TabelaCadastroCategorias[GrupoConta],"Não encontrado")</f>
        <v>006 - Operações</v>
      </c>
      <c r="E24" s="10" t="str">
        <f>_xlfn.XLOOKUP(TabelaTransformada[[#This Row],[Conta]],TabelaCadastroCategorias[Conta],TabelaCadastroCategorias[CodConta],"Não encontrado")</f>
        <v>2.3.1</v>
      </c>
      <c r="F24" s="10" t="str">
        <f>_xlfn.XLOOKUP(TabelaTransformada[[#This Row],[Conta]],TabelaCadastroCategorias[Conta],TabelaCadastroCategorias[CodContaContabil],"Não encontrado")</f>
        <v>2.3.1</v>
      </c>
    </row>
    <row r="25" spans="1:6" x14ac:dyDescent="0.4">
      <c r="A25" s="18" t="s">
        <v>99</v>
      </c>
      <c r="C25" s="11" t="s">
        <v>75</v>
      </c>
      <c r="D25" s="11" t="str">
        <f>_xlfn.XLOOKUP(TabelaTransformada[[#This Row],[Conta]],TabelaCadastroCategorias[Conta],TabelaCadastroCategorias[GrupoConta],"Não encontrado")</f>
        <v>100 - Custo Variável</v>
      </c>
      <c r="E25" s="11" t="str">
        <f>_xlfn.XLOOKUP(TabelaTransformada[[#This Row],[Conta]],TabelaCadastroCategorias[Conta],TabelaCadastroCategorias[CodConta],"Não encontrado")</f>
        <v>2.1.1</v>
      </c>
      <c r="F25" s="11" t="str">
        <f>_xlfn.XLOOKUP(TabelaTransformada[[#This Row],[Conta]],TabelaCadastroCategorias[Conta],TabelaCadastroCategorias[CodContaContabil],"Não encontrado")</f>
        <v>2.1.1</v>
      </c>
    </row>
    <row r="26" spans="1:6" x14ac:dyDescent="0.4">
      <c r="A26" s="18" t="s">
        <v>100</v>
      </c>
      <c r="C26" s="10" t="s">
        <v>55</v>
      </c>
      <c r="D26" s="10" t="str">
        <f>_xlfn.XLOOKUP(TabelaTransformada[[#This Row],[Conta]],TabelaCadastroCategorias[Conta],TabelaCadastroCategorias[GrupoConta],"Não encontrado")</f>
        <v>006 - Operações</v>
      </c>
      <c r="E26" s="10" t="str">
        <f>_xlfn.XLOOKUP(TabelaTransformada[[#This Row],[Conta]],TabelaCadastroCategorias[Conta],TabelaCadastroCategorias[CodConta],"Não encontrado")</f>
        <v>2.3.1</v>
      </c>
      <c r="F26" s="10" t="str">
        <f>_xlfn.XLOOKUP(TabelaTransformada[[#This Row],[Conta]],TabelaCadastroCategorias[Conta],TabelaCadastroCategorias[CodContaContabil],"Não encontrado")</f>
        <v>2.3.1</v>
      </c>
    </row>
    <row r="27" spans="1:6" x14ac:dyDescent="0.4">
      <c r="A27" s="18" t="s">
        <v>101</v>
      </c>
      <c r="C27" s="11" t="s">
        <v>91</v>
      </c>
      <c r="D27" s="11" t="str">
        <f>_xlfn.XLOOKUP(TabelaTransformada[[#This Row],[Conta]],TabelaCadastroCategorias[Conta],TabelaCadastroCategorias[GrupoConta],"Não encontrado")</f>
        <v>200 - Vendas</v>
      </c>
      <c r="E27" s="11" t="str">
        <f>_xlfn.XLOOKUP(TabelaTransformada[[#This Row],[Conta]],TabelaCadastroCategorias[Conta],TabelaCadastroCategorias[CodConta],"Não encontrado")</f>
        <v>1.1.1</v>
      </c>
      <c r="F27" s="11" t="str">
        <f>_xlfn.XLOOKUP(TabelaTransformada[[#This Row],[Conta]],TabelaCadastroCategorias[Conta],TabelaCadastroCategorias[CodContaContabil],"Não encontrado")</f>
        <v>1.1.1</v>
      </c>
    </row>
    <row r="28" spans="1:6" x14ac:dyDescent="0.4">
      <c r="A28" s="18" t="s">
        <v>102</v>
      </c>
      <c r="C28" s="10" t="s">
        <v>67</v>
      </c>
      <c r="D28" s="10" t="str">
        <f>_xlfn.XLOOKUP(TabelaTransformada[[#This Row],[Conta]],TabelaCadastroCategorias[Conta],TabelaCadastroCategorias[GrupoConta],"Não encontrado")</f>
        <v>100 - Custo Variável</v>
      </c>
      <c r="E28" s="10" t="str">
        <f>_xlfn.XLOOKUP(TabelaTransformada[[#This Row],[Conta]],TabelaCadastroCategorias[Conta],TabelaCadastroCategorias[CodConta],"Não encontrado")</f>
        <v>2.4.1</v>
      </c>
      <c r="F28" s="10" t="str">
        <f>_xlfn.XLOOKUP(TabelaTransformada[[#This Row],[Conta]],TabelaCadastroCategorias[Conta],TabelaCadastroCategorias[CodContaContabil],"Não encontrado")</f>
        <v>2.4.1</v>
      </c>
    </row>
    <row r="29" spans="1:6" x14ac:dyDescent="0.4">
      <c r="A29" s="18" t="s">
        <v>103</v>
      </c>
      <c r="C29" s="11" t="s">
        <v>50</v>
      </c>
      <c r="D29" s="11" t="str">
        <f>_xlfn.XLOOKUP(TabelaTransformada[[#This Row],[Conta]],TabelaCadastroCategorias[Conta],TabelaCadastroCategorias[GrupoConta],"Não encontrado")</f>
        <v>006 - Operações</v>
      </c>
      <c r="E29" s="11" t="str">
        <f>_xlfn.XLOOKUP(TabelaTransformada[[#This Row],[Conta]],TabelaCadastroCategorias[Conta],TabelaCadastroCategorias[CodConta],"Não encontrado")</f>
        <v>2.4.1</v>
      </c>
      <c r="F29" s="11" t="str">
        <f>_xlfn.XLOOKUP(TabelaTransformada[[#This Row],[Conta]],TabelaCadastroCategorias[Conta],TabelaCadastroCategorias[CodContaContabil],"Não encontrado")</f>
        <v>2.4.1</v>
      </c>
    </row>
    <row r="30" spans="1:6" x14ac:dyDescent="0.4">
      <c r="A30" s="18" t="s">
        <v>104</v>
      </c>
      <c r="C30" s="10" t="s">
        <v>55</v>
      </c>
      <c r="D30" s="10" t="str">
        <f>_xlfn.XLOOKUP(TabelaTransformada[[#This Row],[Conta]],TabelaCadastroCategorias[Conta],TabelaCadastroCategorias[GrupoConta],"Não encontrado")</f>
        <v>006 - Operações</v>
      </c>
      <c r="E30" s="10" t="str">
        <f>_xlfn.XLOOKUP(TabelaTransformada[[#This Row],[Conta]],TabelaCadastroCategorias[Conta],TabelaCadastroCategorias[CodConta],"Não encontrado")</f>
        <v>2.3.1</v>
      </c>
      <c r="F30" s="10" t="str">
        <f>_xlfn.XLOOKUP(TabelaTransformada[[#This Row],[Conta]],TabelaCadastroCategorias[Conta],TabelaCadastroCategorias[CodContaContabil],"Não encontrado")</f>
        <v>2.3.1</v>
      </c>
    </row>
    <row r="31" spans="1:6" x14ac:dyDescent="0.4">
      <c r="A31" s="18" t="s">
        <v>105</v>
      </c>
      <c r="C31" s="11" t="s">
        <v>55</v>
      </c>
      <c r="D31" s="11" t="str">
        <f>_xlfn.XLOOKUP(TabelaTransformada[[#This Row],[Conta]],TabelaCadastroCategorias[Conta],TabelaCadastroCategorias[GrupoConta],"Não encontrado")</f>
        <v>006 - Operações</v>
      </c>
      <c r="E31" s="11" t="str">
        <f>_xlfn.XLOOKUP(TabelaTransformada[[#This Row],[Conta]],TabelaCadastroCategorias[Conta],TabelaCadastroCategorias[CodConta],"Não encontrado")</f>
        <v>2.3.1</v>
      </c>
      <c r="F31" s="11" t="str">
        <f>_xlfn.XLOOKUP(TabelaTransformada[[#This Row],[Conta]],TabelaCadastroCategorias[Conta],TabelaCadastroCategorias[CodContaContabil],"Não encontrado")</f>
        <v>2.3.1</v>
      </c>
    </row>
    <row r="32" spans="1:6" x14ac:dyDescent="0.4">
      <c r="A32" s="18" t="s">
        <v>106</v>
      </c>
      <c r="C32" s="10" t="s">
        <v>42</v>
      </c>
      <c r="D32" s="10" t="str">
        <f>_xlfn.XLOOKUP(TabelaTransformada[[#This Row],[Conta]],TabelaCadastroCategorias[Conta],TabelaCadastroCategorias[GrupoConta],"Não encontrado")</f>
        <v>004 - Manutenção</v>
      </c>
      <c r="E32" s="10" t="str">
        <f>_xlfn.XLOOKUP(TabelaTransformada[[#This Row],[Conta]],TabelaCadastroCategorias[Conta],TabelaCadastroCategorias[CodConta],"Não encontrado")</f>
        <v>2.3.5</v>
      </c>
      <c r="F32" s="10" t="str">
        <f>_xlfn.XLOOKUP(TabelaTransformada[[#This Row],[Conta]],TabelaCadastroCategorias[Conta],TabelaCadastroCategorias[CodContaContabil],"Não encontrado")</f>
        <v>2.3.5</v>
      </c>
    </row>
    <row r="33" spans="1:6" x14ac:dyDescent="0.4">
      <c r="A33" s="18" t="s">
        <v>107</v>
      </c>
      <c r="C33" s="11" t="s">
        <v>43</v>
      </c>
      <c r="D33" s="11" t="str">
        <f>_xlfn.XLOOKUP(TabelaTransformada[[#This Row],[Conta]],TabelaCadastroCategorias[Conta],TabelaCadastroCategorias[GrupoConta],"Não encontrado")</f>
        <v>005 - Utilidades</v>
      </c>
      <c r="E33" s="11" t="str">
        <f>_xlfn.XLOOKUP(TabelaTransformada[[#This Row],[Conta]],TabelaCadastroCategorias[Conta],TabelaCadastroCategorias[CodConta],"Não encontrado")</f>
        <v>2.3.6</v>
      </c>
      <c r="F33" s="11" t="str">
        <f>_xlfn.XLOOKUP(TabelaTransformada[[#This Row],[Conta]],TabelaCadastroCategorias[Conta],TabelaCadastroCategorias[CodContaContabil],"Não encontrado")</f>
        <v>2.3.6</v>
      </c>
    </row>
    <row r="34" spans="1:6" x14ac:dyDescent="0.4">
      <c r="A34" s="18" t="s">
        <v>108</v>
      </c>
      <c r="C34" s="10" t="s">
        <v>73</v>
      </c>
      <c r="D34" s="10" t="str">
        <f>_xlfn.XLOOKUP(TabelaTransformada[[#This Row],[Conta]],TabelaCadastroCategorias[Conta],TabelaCadastroCategorias[GrupoConta],"Não encontrado")</f>
        <v>100 - Custo Variável</v>
      </c>
      <c r="E34" s="10" t="str">
        <f>_xlfn.XLOOKUP(TabelaTransformada[[#This Row],[Conta]],TabelaCadastroCategorias[Conta],TabelaCadastroCategorias[CodConta],"Não encontrado")</f>
        <v>2.3.1</v>
      </c>
      <c r="F34" s="10" t="str">
        <f>_xlfn.XLOOKUP(TabelaTransformada[[#This Row],[Conta]],TabelaCadastroCategorias[Conta],TabelaCadastroCategorias[CodContaContabil],"Não encontrado")</f>
        <v>2.3.1</v>
      </c>
    </row>
    <row r="35" spans="1:6" x14ac:dyDescent="0.4">
      <c r="A35" s="18" t="s">
        <v>109</v>
      </c>
      <c r="C35" s="11" t="s">
        <v>55</v>
      </c>
      <c r="D35" s="11" t="str">
        <f>_xlfn.XLOOKUP(TabelaTransformada[[#This Row],[Conta]],TabelaCadastroCategorias[Conta],TabelaCadastroCategorias[GrupoConta],"Não encontrado")</f>
        <v>006 - Operações</v>
      </c>
      <c r="E35" s="11" t="str">
        <f>_xlfn.XLOOKUP(TabelaTransformada[[#This Row],[Conta]],TabelaCadastroCategorias[Conta],TabelaCadastroCategorias[CodConta],"Não encontrado")</f>
        <v>2.3.1</v>
      </c>
      <c r="F35" s="11" t="str">
        <f>_xlfn.XLOOKUP(TabelaTransformada[[#This Row],[Conta]],TabelaCadastroCategorias[Conta],TabelaCadastroCategorias[CodContaContabil],"Não encontrado")</f>
        <v>2.3.1</v>
      </c>
    </row>
    <row r="36" spans="1:6" x14ac:dyDescent="0.4">
      <c r="A36" s="18" t="s">
        <v>110</v>
      </c>
      <c r="C36" s="10" t="s">
        <v>55</v>
      </c>
      <c r="D36" s="10" t="str">
        <f>_xlfn.XLOOKUP(TabelaTransformada[[#This Row],[Conta]],TabelaCadastroCategorias[Conta],TabelaCadastroCategorias[GrupoConta],"Não encontrado")</f>
        <v>006 - Operações</v>
      </c>
      <c r="E36" s="10" t="str">
        <f>_xlfn.XLOOKUP(TabelaTransformada[[#This Row],[Conta]],TabelaCadastroCategorias[Conta],TabelaCadastroCategorias[CodConta],"Não encontrado")</f>
        <v>2.3.1</v>
      </c>
      <c r="F36" s="10" t="str">
        <f>_xlfn.XLOOKUP(TabelaTransformada[[#This Row],[Conta]],TabelaCadastroCategorias[Conta],TabelaCadastroCategorias[CodContaContabil],"Não encontrado")</f>
        <v>2.3.1</v>
      </c>
    </row>
    <row r="37" spans="1:6" x14ac:dyDescent="0.4">
      <c r="A37" s="18" t="s">
        <v>111</v>
      </c>
      <c r="C37" s="11" t="s">
        <v>91</v>
      </c>
      <c r="D37" s="11" t="str">
        <f>_xlfn.XLOOKUP(TabelaTransformada[[#This Row],[Conta]],TabelaCadastroCategorias[Conta],TabelaCadastroCategorias[GrupoConta],"Não encontrado")</f>
        <v>200 - Vendas</v>
      </c>
      <c r="E37" s="11" t="str">
        <f>_xlfn.XLOOKUP(TabelaTransformada[[#This Row],[Conta]],TabelaCadastroCategorias[Conta],TabelaCadastroCategorias[CodConta],"Não encontrado")</f>
        <v>1.1.1</v>
      </c>
      <c r="F37" s="11" t="str">
        <f>_xlfn.XLOOKUP(TabelaTransformada[[#This Row],[Conta]],TabelaCadastroCategorias[Conta],TabelaCadastroCategorias[CodContaContabil],"Não encontrado")</f>
        <v>1.1.1</v>
      </c>
    </row>
    <row r="38" spans="1:6" x14ac:dyDescent="0.4">
      <c r="A38" s="18" t="s">
        <v>112</v>
      </c>
      <c r="C38" s="10" t="s">
        <v>55</v>
      </c>
      <c r="D38" s="10" t="str">
        <f>_xlfn.XLOOKUP(TabelaTransformada[[#This Row],[Conta]],TabelaCadastroCategorias[Conta],TabelaCadastroCategorias[GrupoConta],"Não encontrado")</f>
        <v>006 - Operações</v>
      </c>
      <c r="E38" s="10" t="str">
        <f>_xlfn.XLOOKUP(TabelaTransformada[[#This Row],[Conta]],TabelaCadastroCategorias[Conta],TabelaCadastroCategorias[CodConta],"Não encontrado")</f>
        <v>2.3.1</v>
      </c>
      <c r="F38" s="10" t="str">
        <f>_xlfn.XLOOKUP(TabelaTransformada[[#This Row],[Conta]],TabelaCadastroCategorias[Conta],TabelaCadastroCategorias[CodContaContabil],"Não encontrado")</f>
        <v>2.3.1</v>
      </c>
    </row>
    <row r="39" spans="1:6" x14ac:dyDescent="0.4">
      <c r="A39" s="18" t="s">
        <v>113</v>
      </c>
      <c r="C39" s="11" t="s">
        <v>47</v>
      </c>
      <c r="D39" s="11" t="str">
        <f>_xlfn.XLOOKUP(TabelaTransformada[[#This Row],[Conta]],TabelaCadastroCategorias[Conta],TabelaCadastroCategorias[GrupoConta],"Não encontrado")</f>
        <v>005 - Utilidades</v>
      </c>
      <c r="E39" s="11" t="str">
        <f>_xlfn.XLOOKUP(TabelaTransformada[[#This Row],[Conta]],TabelaCadastroCategorias[Conta],TabelaCadastroCategorias[CodConta],"Não encontrado")</f>
        <v>2.3.8</v>
      </c>
      <c r="F39" s="11" t="str">
        <f>_xlfn.XLOOKUP(TabelaTransformada[[#This Row],[Conta]],TabelaCadastroCategorias[Conta],TabelaCadastroCategorias[CodContaContabil],"Não encontrado")</f>
        <v>2.3.8</v>
      </c>
    </row>
    <row r="40" spans="1:6" x14ac:dyDescent="0.4">
      <c r="A40" s="18" t="s">
        <v>114</v>
      </c>
      <c r="C40" s="10" t="s">
        <v>55</v>
      </c>
      <c r="D40" s="10" t="str">
        <f>_xlfn.XLOOKUP(TabelaTransformada[[#This Row],[Conta]],TabelaCadastroCategorias[Conta],TabelaCadastroCategorias[GrupoConta],"Não encontrado")</f>
        <v>006 - Operações</v>
      </c>
      <c r="E40" s="10" t="str">
        <f>_xlfn.XLOOKUP(TabelaTransformada[[#This Row],[Conta]],TabelaCadastroCategorias[Conta],TabelaCadastroCategorias[CodConta],"Não encontrado")</f>
        <v>2.3.1</v>
      </c>
      <c r="F40" s="10" t="str">
        <f>_xlfn.XLOOKUP(TabelaTransformada[[#This Row],[Conta]],TabelaCadastroCategorias[Conta],TabelaCadastroCategorias[CodContaContabil],"Não encontrado")</f>
        <v>2.3.1</v>
      </c>
    </row>
    <row r="41" spans="1:6" x14ac:dyDescent="0.4">
      <c r="A41" s="18" t="s">
        <v>115</v>
      </c>
      <c r="C41" s="11" t="s">
        <v>92</v>
      </c>
      <c r="D41" s="11" t="str">
        <f>_xlfn.XLOOKUP(TabelaTransformada[[#This Row],[Conta]],TabelaCadastroCategorias[Conta],TabelaCadastroCategorias[GrupoConta],"Não encontrado")</f>
        <v>200 - Vendas</v>
      </c>
      <c r="E41" s="11" t="str">
        <f>_xlfn.XLOOKUP(TabelaTransformada[[#This Row],[Conta]],TabelaCadastroCategorias[Conta],TabelaCadastroCategorias[CodConta],"Não encontrado")</f>
        <v>1.1.2</v>
      </c>
      <c r="F41" s="11" t="str">
        <f>_xlfn.XLOOKUP(TabelaTransformada[[#This Row],[Conta]],TabelaCadastroCategorias[Conta],TabelaCadastroCategorias[CodContaContabil],"Não encontrado")</f>
        <v>1.1.2</v>
      </c>
    </row>
    <row r="42" spans="1:6" x14ac:dyDescent="0.4">
      <c r="A42" s="18" t="s">
        <v>116</v>
      </c>
      <c r="C42" s="10" t="s">
        <v>43</v>
      </c>
      <c r="D42" s="10" t="str">
        <f>_xlfn.XLOOKUP(TabelaTransformada[[#This Row],[Conta]],TabelaCadastroCategorias[Conta],TabelaCadastroCategorias[GrupoConta],"Não encontrado")</f>
        <v>005 - Utilidades</v>
      </c>
      <c r="E42" s="10" t="str">
        <f>_xlfn.XLOOKUP(TabelaTransformada[[#This Row],[Conta]],TabelaCadastroCategorias[Conta],TabelaCadastroCategorias[CodConta],"Não encontrado")</f>
        <v>2.3.6</v>
      </c>
      <c r="F42" s="10" t="str">
        <f>_xlfn.XLOOKUP(TabelaTransformada[[#This Row],[Conta]],TabelaCadastroCategorias[Conta],TabelaCadastroCategorias[CodContaContabil],"Não encontrado")</f>
        <v>2.3.6</v>
      </c>
    </row>
    <row r="43" spans="1:6" x14ac:dyDescent="0.4">
      <c r="A43" s="18" t="s">
        <v>117</v>
      </c>
      <c r="C43" s="11" t="s">
        <v>43</v>
      </c>
      <c r="D43" s="11" t="str">
        <f>_xlfn.XLOOKUP(TabelaTransformada[[#This Row],[Conta]],TabelaCadastroCategorias[Conta],TabelaCadastroCategorias[GrupoConta],"Não encontrado")</f>
        <v>005 - Utilidades</v>
      </c>
      <c r="E43" s="11" t="str">
        <f>_xlfn.XLOOKUP(TabelaTransformada[[#This Row],[Conta]],TabelaCadastroCategorias[Conta],TabelaCadastroCategorias[CodConta],"Não encontrado")</f>
        <v>2.3.6</v>
      </c>
      <c r="F43" s="11" t="str">
        <f>_xlfn.XLOOKUP(TabelaTransformada[[#This Row],[Conta]],TabelaCadastroCategorias[Conta],TabelaCadastroCategorias[CodContaContabil],"Não encontrado")</f>
        <v>2.3.6</v>
      </c>
    </row>
    <row r="44" spans="1:6" x14ac:dyDescent="0.4">
      <c r="A44" s="18" t="s">
        <v>118</v>
      </c>
      <c r="C44" s="10" t="s">
        <v>43</v>
      </c>
      <c r="D44" s="10" t="str">
        <f>_xlfn.XLOOKUP(TabelaTransformada[[#This Row],[Conta]],TabelaCadastroCategorias[Conta],TabelaCadastroCategorias[GrupoConta],"Não encontrado")</f>
        <v>005 - Utilidades</v>
      </c>
      <c r="E44" s="10" t="str">
        <f>_xlfn.XLOOKUP(TabelaTransformada[[#This Row],[Conta]],TabelaCadastroCategorias[Conta],TabelaCadastroCategorias[CodConta],"Não encontrado")</f>
        <v>2.3.6</v>
      </c>
      <c r="F44" s="10" t="str">
        <f>_xlfn.XLOOKUP(TabelaTransformada[[#This Row],[Conta]],TabelaCadastroCategorias[Conta],TabelaCadastroCategorias[CodContaContabil],"Não encontrado")</f>
        <v>2.3.6</v>
      </c>
    </row>
    <row r="45" spans="1:6" x14ac:dyDescent="0.4">
      <c r="A45" s="18" t="s">
        <v>119</v>
      </c>
      <c r="C45" s="11" t="s">
        <v>49</v>
      </c>
      <c r="D45" s="11" t="str">
        <f>_xlfn.XLOOKUP(TabelaTransformada[[#This Row],[Conta]],TabelaCadastroCategorias[Conta],TabelaCadastroCategorias[GrupoConta],"Não encontrado")</f>
        <v>005 - Utilidades</v>
      </c>
      <c r="E45" s="11" t="str">
        <f>_xlfn.XLOOKUP(TabelaTransformada[[#This Row],[Conta]],TabelaCadastroCategorias[Conta],TabelaCadastroCategorias[CodConta],"Não encontrado")</f>
        <v>2.3.1</v>
      </c>
      <c r="F45" s="11" t="str">
        <f>_xlfn.XLOOKUP(TabelaTransformada[[#This Row],[Conta]],TabelaCadastroCategorias[Conta],TabelaCadastroCategorias[CodContaContabil],"Não encontrado")</f>
        <v>2.3.1</v>
      </c>
    </row>
    <row r="46" spans="1:6" x14ac:dyDescent="0.4">
      <c r="A46" s="18" t="s">
        <v>120</v>
      </c>
      <c r="C46" s="10" t="s">
        <v>73</v>
      </c>
      <c r="D46" s="10" t="str">
        <f>_xlfn.XLOOKUP(TabelaTransformada[[#This Row],[Conta]],TabelaCadastroCategorias[Conta],TabelaCadastroCategorias[GrupoConta],"Não encontrado")</f>
        <v>100 - Custo Variável</v>
      </c>
      <c r="E46" s="10" t="str">
        <f>_xlfn.XLOOKUP(TabelaTransformada[[#This Row],[Conta]],TabelaCadastroCategorias[Conta],TabelaCadastroCategorias[CodConta],"Não encontrado")</f>
        <v>2.3.1</v>
      </c>
      <c r="F46" s="10" t="str">
        <f>_xlfn.XLOOKUP(TabelaTransformada[[#This Row],[Conta]],TabelaCadastroCategorias[Conta],TabelaCadastroCategorias[CodContaContabil],"Não encontrado")</f>
        <v>2.3.1</v>
      </c>
    </row>
    <row r="47" spans="1:6" x14ac:dyDescent="0.4">
      <c r="A47" s="18" t="s">
        <v>121</v>
      </c>
      <c r="C47" s="11" t="s">
        <v>92</v>
      </c>
      <c r="D47" s="11" t="str">
        <f>_xlfn.XLOOKUP(TabelaTransformada[[#This Row],[Conta]],TabelaCadastroCategorias[Conta],TabelaCadastroCategorias[GrupoConta],"Não encontrado")</f>
        <v>200 - Vendas</v>
      </c>
      <c r="E47" s="11" t="str">
        <f>_xlfn.XLOOKUP(TabelaTransformada[[#This Row],[Conta]],TabelaCadastroCategorias[Conta],TabelaCadastroCategorias[CodConta],"Não encontrado")</f>
        <v>1.1.2</v>
      </c>
      <c r="F47" s="11" t="str">
        <f>_xlfn.XLOOKUP(TabelaTransformada[[#This Row],[Conta]],TabelaCadastroCategorias[Conta],TabelaCadastroCategorias[CodContaContabil],"Não encontrado")</f>
        <v>1.1.2</v>
      </c>
    </row>
    <row r="48" spans="1:6" x14ac:dyDescent="0.4">
      <c r="A48" s="18" t="s">
        <v>122</v>
      </c>
      <c r="C48" s="10" t="s">
        <v>55</v>
      </c>
      <c r="D48" s="10" t="str">
        <f>_xlfn.XLOOKUP(TabelaTransformada[[#This Row],[Conta]],TabelaCadastroCategorias[Conta],TabelaCadastroCategorias[GrupoConta],"Não encontrado")</f>
        <v>006 - Operações</v>
      </c>
      <c r="E48" s="10" t="str">
        <f>_xlfn.XLOOKUP(TabelaTransformada[[#This Row],[Conta]],TabelaCadastroCategorias[Conta],TabelaCadastroCategorias[CodConta],"Não encontrado")</f>
        <v>2.3.1</v>
      </c>
      <c r="F48" s="10" t="str">
        <f>_xlfn.XLOOKUP(TabelaTransformada[[#This Row],[Conta]],TabelaCadastroCategorias[Conta],TabelaCadastroCategorias[CodContaContabil],"Não encontrado")</f>
        <v>2.3.1</v>
      </c>
    </row>
    <row r="49" spans="1:6" x14ac:dyDescent="0.4">
      <c r="A49" s="18" t="s">
        <v>123</v>
      </c>
      <c r="C49" s="11" t="s">
        <v>75</v>
      </c>
      <c r="D49" s="11" t="str">
        <f>_xlfn.XLOOKUP(TabelaTransformada[[#This Row],[Conta]],TabelaCadastroCategorias[Conta],TabelaCadastroCategorias[GrupoConta],"Não encontrado")</f>
        <v>100 - Custo Variável</v>
      </c>
      <c r="E49" s="11" t="str">
        <f>_xlfn.XLOOKUP(TabelaTransformada[[#This Row],[Conta]],TabelaCadastroCategorias[Conta],TabelaCadastroCategorias[CodConta],"Não encontrado")</f>
        <v>2.1.1</v>
      </c>
      <c r="F49" s="11" t="str">
        <f>_xlfn.XLOOKUP(TabelaTransformada[[#This Row],[Conta]],TabelaCadastroCategorias[Conta],TabelaCadastroCategorias[CodContaContabil],"Não encontrado")</f>
        <v>2.1.1</v>
      </c>
    </row>
    <row r="50" spans="1:6" x14ac:dyDescent="0.4">
      <c r="A50" s="18" t="s">
        <v>124</v>
      </c>
      <c r="C50" s="10" t="s">
        <v>41</v>
      </c>
      <c r="D50" s="10" t="str">
        <f>_xlfn.XLOOKUP(TabelaTransformada[[#This Row],[Conta]],TabelaCadastroCategorias[Conta],TabelaCadastroCategorias[GrupoConta],"Não encontrado")</f>
        <v>004 - Manutenção</v>
      </c>
      <c r="E50" s="10" t="str">
        <f>_xlfn.XLOOKUP(TabelaTransformada[[#This Row],[Conta]],TabelaCadastroCategorias[Conta],TabelaCadastroCategorias[CodConta],"Não encontrado")</f>
        <v>2.3.6</v>
      </c>
      <c r="F50" s="10" t="str">
        <f>_xlfn.XLOOKUP(TabelaTransformada[[#This Row],[Conta]],TabelaCadastroCategorias[Conta],TabelaCadastroCategorias[CodContaContabil],"Não encontrado")</f>
        <v>2.3.6</v>
      </c>
    </row>
    <row r="51" spans="1:6" x14ac:dyDescent="0.4">
      <c r="A51" s="18" t="s">
        <v>125</v>
      </c>
      <c r="C51" s="11" t="s">
        <v>15</v>
      </c>
      <c r="D51" s="11" t="str">
        <f>_xlfn.XLOOKUP(TabelaTransformada[[#This Row],[Conta]],TabelaCadastroCategorias[Conta],TabelaCadastroCategorias[GrupoConta],"Não encontrado")</f>
        <v>001 - Funcionários</v>
      </c>
      <c r="E51" s="11" t="str">
        <f>_xlfn.XLOOKUP(TabelaTransformada[[#This Row],[Conta]],TabelaCadastroCategorias[Conta],TabelaCadastroCategorias[CodConta],"Não encontrado")</f>
        <v>2.3.3</v>
      </c>
      <c r="F51" s="11" t="str">
        <f>_xlfn.XLOOKUP(TabelaTransformada[[#This Row],[Conta]],TabelaCadastroCategorias[Conta],TabelaCadastroCategorias[CodContaContabil],"Não encontrado")</f>
        <v>2.3.3</v>
      </c>
    </row>
    <row r="52" spans="1:6" x14ac:dyDescent="0.4">
      <c r="A52" s="18" t="s">
        <v>126</v>
      </c>
      <c r="C52" s="10" t="s">
        <v>15</v>
      </c>
      <c r="D52" s="10" t="str">
        <f>_xlfn.XLOOKUP(TabelaTransformada[[#This Row],[Conta]],TabelaCadastroCategorias[Conta],TabelaCadastroCategorias[GrupoConta],"Não encontrado")</f>
        <v>001 - Funcionários</v>
      </c>
      <c r="E52" s="10" t="str">
        <f>_xlfn.XLOOKUP(TabelaTransformada[[#This Row],[Conta]],TabelaCadastroCategorias[Conta],TabelaCadastroCategorias[CodConta],"Não encontrado")</f>
        <v>2.3.3</v>
      </c>
      <c r="F52" s="10" t="str">
        <f>_xlfn.XLOOKUP(TabelaTransformada[[#This Row],[Conta]],TabelaCadastroCategorias[Conta],TabelaCadastroCategorias[CodContaContabil],"Não encontrado")</f>
        <v>2.3.3</v>
      </c>
    </row>
    <row r="53" spans="1:6" x14ac:dyDescent="0.4">
      <c r="A53" s="18" t="s">
        <v>127</v>
      </c>
      <c r="C53" s="11" t="s">
        <v>15</v>
      </c>
      <c r="D53" s="11" t="str">
        <f>_xlfn.XLOOKUP(TabelaTransformada[[#This Row],[Conta]],TabelaCadastroCategorias[Conta],TabelaCadastroCategorias[GrupoConta],"Não encontrado")</f>
        <v>001 - Funcionários</v>
      </c>
      <c r="E53" s="11" t="str">
        <f>_xlfn.XLOOKUP(TabelaTransformada[[#This Row],[Conta]],TabelaCadastroCategorias[Conta],TabelaCadastroCategorias[CodConta],"Não encontrado")</f>
        <v>2.3.3</v>
      </c>
      <c r="F53" s="11" t="str">
        <f>_xlfn.XLOOKUP(TabelaTransformada[[#This Row],[Conta]],TabelaCadastroCategorias[Conta],TabelaCadastroCategorias[CodContaContabil],"Não encontrado")</f>
        <v>2.3.3</v>
      </c>
    </row>
    <row r="54" spans="1:6" x14ac:dyDescent="0.4">
      <c r="A54" s="18" t="s">
        <v>128</v>
      </c>
      <c r="C54" s="10" t="s">
        <v>17</v>
      </c>
      <c r="D54" s="10" t="str">
        <f>_xlfn.XLOOKUP(TabelaTransformada[[#This Row],[Conta]],TabelaCadastroCategorias[Conta],TabelaCadastroCategorias[GrupoConta],"Não encontrado")</f>
        <v>100 - Custo Variável</v>
      </c>
      <c r="E54" s="10" t="str">
        <f>_xlfn.XLOOKUP(TabelaTransformada[[#This Row],[Conta]],TabelaCadastroCategorias[Conta],TabelaCadastroCategorias[CodConta],"Não encontrado")</f>
        <v>2.4.1</v>
      </c>
      <c r="F54" s="10" t="str">
        <f>_xlfn.XLOOKUP(TabelaTransformada[[#This Row],[Conta]],TabelaCadastroCategorias[Conta],TabelaCadastroCategorias[CodContaContabil],"Não encontrado")</f>
        <v>2.4.1</v>
      </c>
    </row>
    <row r="55" spans="1:6" x14ac:dyDescent="0.4">
      <c r="A55" s="18" t="s">
        <v>129</v>
      </c>
      <c r="C55" s="11" t="s">
        <v>92</v>
      </c>
      <c r="D55" s="11" t="str">
        <f>_xlfn.XLOOKUP(TabelaTransformada[[#This Row],[Conta]],TabelaCadastroCategorias[Conta],TabelaCadastroCategorias[GrupoConta],"Não encontrado")</f>
        <v>200 - Vendas</v>
      </c>
      <c r="E55" s="11" t="str">
        <f>_xlfn.XLOOKUP(TabelaTransformada[[#This Row],[Conta]],TabelaCadastroCategorias[Conta],TabelaCadastroCategorias[CodConta],"Não encontrado")</f>
        <v>1.1.2</v>
      </c>
      <c r="F55" s="11" t="str">
        <f>_xlfn.XLOOKUP(TabelaTransformada[[#This Row],[Conta]],TabelaCadastroCategorias[Conta],TabelaCadastroCategorias[CodContaContabil],"Não encontrado")</f>
        <v>1.1.2</v>
      </c>
    </row>
    <row r="56" spans="1:6" x14ac:dyDescent="0.4">
      <c r="A56" s="18" t="s">
        <v>130</v>
      </c>
      <c r="C56" s="10" t="s">
        <v>55</v>
      </c>
      <c r="D56" s="10" t="str">
        <f>_xlfn.XLOOKUP(TabelaTransformada[[#This Row],[Conta]],TabelaCadastroCategorias[Conta],TabelaCadastroCategorias[GrupoConta],"Não encontrado")</f>
        <v>006 - Operações</v>
      </c>
      <c r="E56" s="10" t="str">
        <f>_xlfn.XLOOKUP(TabelaTransformada[[#This Row],[Conta]],TabelaCadastroCategorias[Conta],TabelaCadastroCategorias[CodConta],"Não encontrado")</f>
        <v>2.3.1</v>
      </c>
      <c r="F56" s="10" t="str">
        <f>_xlfn.XLOOKUP(TabelaTransformada[[#This Row],[Conta]],TabelaCadastroCategorias[Conta],TabelaCadastroCategorias[CodContaContabil],"Não encontrado")</f>
        <v>2.3.1</v>
      </c>
    </row>
    <row r="57" spans="1:6" x14ac:dyDescent="0.4">
      <c r="A57" s="18" t="s">
        <v>131</v>
      </c>
      <c r="C57" s="11" t="s">
        <v>73</v>
      </c>
      <c r="D57" s="11" t="str">
        <f>_xlfn.XLOOKUP(TabelaTransformada[[#This Row],[Conta]],TabelaCadastroCategorias[Conta],TabelaCadastroCategorias[GrupoConta],"Não encontrado")</f>
        <v>100 - Custo Variável</v>
      </c>
      <c r="E57" s="11" t="str">
        <f>_xlfn.XLOOKUP(TabelaTransformada[[#This Row],[Conta]],TabelaCadastroCategorias[Conta],TabelaCadastroCategorias[CodConta],"Não encontrado")</f>
        <v>2.3.1</v>
      </c>
      <c r="F57" s="11" t="str">
        <f>_xlfn.XLOOKUP(TabelaTransformada[[#This Row],[Conta]],TabelaCadastroCategorias[Conta],TabelaCadastroCategorias[CodContaContabil],"Não encontrado")</f>
        <v>2.3.1</v>
      </c>
    </row>
    <row r="58" spans="1:6" x14ac:dyDescent="0.4">
      <c r="A58" s="18" t="s">
        <v>136</v>
      </c>
      <c r="C58" s="10" t="s">
        <v>91</v>
      </c>
      <c r="D58" s="10" t="str">
        <f>_xlfn.XLOOKUP(TabelaTransformada[[#This Row],[Conta]],TabelaCadastroCategorias[Conta],TabelaCadastroCategorias[GrupoConta],"Não encontrado")</f>
        <v>200 - Vendas</v>
      </c>
      <c r="E58" s="10" t="str">
        <f>_xlfn.XLOOKUP(TabelaTransformada[[#This Row],[Conta]],TabelaCadastroCategorias[Conta],TabelaCadastroCategorias[CodConta],"Não encontrado")</f>
        <v>1.1.1</v>
      </c>
      <c r="F58" s="10" t="str">
        <f>_xlfn.XLOOKUP(TabelaTransformada[[#This Row],[Conta]],TabelaCadastroCategorias[Conta],TabelaCadastroCategorias[CodContaContabil],"Não encontrado")</f>
        <v>1.1.1</v>
      </c>
    </row>
    <row r="59" spans="1:6" x14ac:dyDescent="0.4">
      <c r="A59" s="18" t="s">
        <v>137</v>
      </c>
      <c r="C59" s="11" t="s">
        <v>75</v>
      </c>
      <c r="D59" s="11" t="str">
        <f>_xlfn.XLOOKUP(TabelaTransformada[[#This Row],[Conta]],TabelaCadastroCategorias[Conta],TabelaCadastroCategorias[GrupoConta],"Não encontrado")</f>
        <v>100 - Custo Variável</v>
      </c>
      <c r="E59" s="11" t="str">
        <f>_xlfn.XLOOKUP(TabelaTransformada[[#This Row],[Conta]],TabelaCadastroCategorias[Conta],TabelaCadastroCategorias[CodConta],"Não encontrado")</f>
        <v>2.1.1</v>
      </c>
      <c r="F59" s="11" t="str">
        <f>_xlfn.XLOOKUP(TabelaTransformada[[#This Row],[Conta]],TabelaCadastroCategorias[Conta],TabelaCadastroCategorias[CodContaContabil],"Não encontrado")</f>
        <v>2.1.1</v>
      </c>
    </row>
    <row r="60" spans="1:6" x14ac:dyDescent="0.4">
      <c r="A60" s="18" t="s">
        <v>138</v>
      </c>
      <c r="C60" s="10" t="s">
        <v>75</v>
      </c>
      <c r="D60" s="10" t="str">
        <f>_xlfn.XLOOKUP(TabelaTransformada[[#This Row],[Conta]],TabelaCadastroCategorias[Conta],TabelaCadastroCategorias[GrupoConta],"Não encontrado")</f>
        <v>100 - Custo Variável</v>
      </c>
      <c r="E60" s="10" t="str">
        <f>_xlfn.XLOOKUP(TabelaTransformada[[#This Row],[Conta]],TabelaCadastroCategorias[Conta],TabelaCadastroCategorias[CodConta],"Não encontrado")</f>
        <v>2.1.1</v>
      </c>
      <c r="F60" s="10" t="str">
        <f>_xlfn.XLOOKUP(TabelaTransformada[[#This Row],[Conta]],TabelaCadastroCategorias[Conta],TabelaCadastroCategorias[CodContaContabil],"Não encontrado")</f>
        <v>2.1.1</v>
      </c>
    </row>
    <row r="61" spans="1:6" x14ac:dyDescent="0.4">
      <c r="A61" s="18" t="s">
        <v>139</v>
      </c>
      <c r="C61" s="11" t="s">
        <v>75</v>
      </c>
      <c r="D61" s="11" t="str">
        <f>_xlfn.XLOOKUP(TabelaTransformada[[#This Row],[Conta]],TabelaCadastroCategorias[Conta],TabelaCadastroCategorias[GrupoConta],"Não encontrado")</f>
        <v>100 - Custo Variável</v>
      </c>
      <c r="E61" s="11" t="str">
        <f>_xlfn.XLOOKUP(TabelaTransformada[[#This Row],[Conta]],TabelaCadastroCategorias[Conta],TabelaCadastroCategorias[CodConta],"Não encontrado")</f>
        <v>2.1.1</v>
      </c>
      <c r="F61" s="11" t="str">
        <f>_xlfn.XLOOKUP(TabelaTransformada[[#This Row],[Conta]],TabelaCadastroCategorias[Conta],TabelaCadastroCategorias[CodContaContabil],"Não encontrado")</f>
        <v>2.1.1</v>
      </c>
    </row>
    <row r="62" spans="1:6" x14ac:dyDescent="0.4">
      <c r="A62" s="18" t="s">
        <v>140</v>
      </c>
      <c r="C62" s="10" t="s">
        <v>75</v>
      </c>
      <c r="D62" s="10" t="str">
        <f>_xlfn.XLOOKUP(TabelaTransformada[[#This Row],[Conta]],TabelaCadastroCategorias[Conta],TabelaCadastroCategorias[GrupoConta],"Não encontrado")</f>
        <v>100 - Custo Variável</v>
      </c>
      <c r="E62" s="10" t="str">
        <f>_xlfn.XLOOKUP(TabelaTransformada[[#This Row],[Conta]],TabelaCadastroCategorias[Conta],TabelaCadastroCategorias[CodConta],"Não encontrado")</f>
        <v>2.1.1</v>
      </c>
      <c r="F62" s="10" t="str">
        <f>_xlfn.XLOOKUP(TabelaTransformada[[#This Row],[Conta]],TabelaCadastroCategorias[Conta],TabelaCadastroCategorias[CodContaContabil],"Não encontrado")</f>
        <v>2.1.1</v>
      </c>
    </row>
    <row r="63" spans="1:6" x14ac:dyDescent="0.4">
      <c r="A63" s="19" t="s">
        <v>141</v>
      </c>
      <c r="C63" s="11" t="s">
        <v>75</v>
      </c>
      <c r="D63" s="11" t="str">
        <f>_xlfn.XLOOKUP(TabelaTransformada[[#This Row],[Conta]],TabelaCadastroCategorias[Conta],TabelaCadastroCategorias[GrupoConta],"Não encontrado")</f>
        <v>100 - Custo Variável</v>
      </c>
      <c r="E63" s="11" t="str">
        <f>_xlfn.XLOOKUP(TabelaTransformada[[#This Row],[Conta]],TabelaCadastroCategorias[Conta],TabelaCadastroCategorias[CodConta],"Não encontrado")</f>
        <v>2.1.1</v>
      </c>
      <c r="F63" s="11" t="str">
        <f>_xlfn.XLOOKUP(TabelaTransformada[[#This Row],[Conta]],TabelaCadastroCategorias[Conta],TabelaCadastroCategorias[CodContaContabil],"Não encontrado")</f>
        <v>2.1.1</v>
      </c>
    </row>
    <row r="64" spans="1:6" x14ac:dyDescent="0.4">
      <c r="A64" s="3" t="s">
        <v>142</v>
      </c>
      <c r="C64" s="10" t="s">
        <v>55</v>
      </c>
      <c r="D64" s="10" t="str">
        <f>_xlfn.XLOOKUP(TabelaTransformada[[#This Row],[Conta]],TabelaCadastroCategorias[Conta],TabelaCadastroCategorias[GrupoConta],"Não encontrado")</f>
        <v>006 - Operações</v>
      </c>
      <c r="E64" s="10" t="str">
        <f>_xlfn.XLOOKUP(TabelaTransformada[[#This Row],[Conta]],TabelaCadastroCategorias[Conta],TabelaCadastroCategorias[CodConta],"Não encontrado")</f>
        <v>2.3.1</v>
      </c>
      <c r="F64" s="10" t="str">
        <f>_xlfn.XLOOKUP(TabelaTransformada[[#This Row],[Conta]],TabelaCadastroCategorias[Conta],TabelaCadastroCategorias[CodContaContabil],"Não encontrado")</f>
        <v>2.3.1</v>
      </c>
    </row>
    <row r="65" spans="1:6" x14ac:dyDescent="0.4">
      <c r="A65" s="3" t="s">
        <v>143</v>
      </c>
      <c r="C65" s="11" t="s">
        <v>20</v>
      </c>
      <c r="D65" s="11" t="str">
        <f>_xlfn.XLOOKUP(TabelaTransformada[[#This Row],[Conta]],TabelaCadastroCategorias[Conta],TabelaCadastroCategorias[GrupoConta],"Não encontrado")</f>
        <v>100 - Custo Variável</v>
      </c>
      <c r="E65" s="11" t="str">
        <f>_xlfn.XLOOKUP(TabelaTransformada[[#This Row],[Conta]],TabelaCadastroCategorias[Conta],TabelaCadastroCategorias[CodConta],"Não encontrado")</f>
        <v>2.3.1</v>
      </c>
      <c r="F65" s="11" t="str">
        <f>_xlfn.XLOOKUP(TabelaTransformada[[#This Row],[Conta]],TabelaCadastroCategorias[Conta],TabelaCadastroCategorias[CodContaContabil],"Não encontrado")</f>
        <v>2.3.1</v>
      </c>
    </row>
    <row r="66" spans="1:6" x14ac:dyDescent="0.4">
      <c r="A66" s="3" t="s">
        <v>144</v>
      </c>
      <c r="C66" s="10" t="s">
        <v>20</v>
      </c>
      <c r="D66" s="10" t="str">
        <f>_xlfn.XLOOKUP(TabelaTransformada[[#This Row],[Conta]],TabelaCadastroCategorias[Conta],TabelaCadastroCategorias[GrupoConta],"Não encontrado")</f>
        <v>100 - Custo Variável</v>
      </c>
      <c r="E66" s="10" t="str">
        <f>_xlfn.XLOOKUP(TabelaTransformada[[#This Row],[Conta]],TabelaCadastroCategorias[Conta],TabelaCadastroCategorias[CodConta],"Não encontrado")</f>
        <v>2.3.1</v>
      </c>
      <c r="F66" s="10" t="str">
        <f>_xlfn.XLOOKUP(TabelaTransformada[[#This Row],[Conta]],TabelaCadastroCategorias[Conta],TabelaCadastroCategorias[CodContaContabil],"Não encontrado")</f>
        <v>2.3.1</v>
      </c>
    </row>
    <row r="67" spans="1:6" x14ac:dyDescent="0.4">
      <c r="A67" s="3" t="s">
        <v>145</v>
      </c>
      <c r="C67" s="11" t="s">
        <v>20</v>
      </c>
      <c r="D67" s="11" t="str">
        <f>_xlfn.XLOOKUP(TabelaTransformada[[#This Row],[Conta]],TabelaCadastroCategorias[Conta],TabelaCadastroCategorias[GrupoConta],"Não encontrado")</f>
        <v>100 - Custo Variável</v>
      </c>
      <c r="E67" s="11" t="str">
        <f>_xlfn.XLOOKUP(TabelaTransformada[[#This Row],[Conta]],TabelaCadastroCategorias[Conta],TabelaCadastroCategorias[CodConta],"Não encontrado")</f>
        <v>2.3.1</v>
      </c>
      <c r="F67" s="11" t="str">
        <f>_xlfn.XLOOKUP(TabelaTransformada[[#This Row],[Conta]],TabelaCadastroCategorias[Conta],TabelaCadastroCategorias[CodContaContabil],"Não encontrado")</f>
        <v>2.3.1</v>
      </c>
    </row>
    <row r="68" spans="1:6" x14ac:dyDescent="0.4">
      <c r="A68" s="3" t="s">
        <v>146</v>
      </c>
      <c r="C68" s="10" t="s">
        <v>60</v>
      </c>
      <c r="D68" s="10" t="str">
        <f>_xlfn.XLOOKUP(TabelaTransformada[[#This Row],[Conta]],TabelaCadastroCategorias[Conta],TabelaCadastroCategorias[GrupoConta],"Não encontrado")</f>
        <v>006 - Operações</v>
      </c>
      <c r="E68" s="10" t="str">
        <f>_xlfn.XLOOKUP(TabelaTransformada[[#This Row],[Conta]],TabelaCadastroCategorias[Conta],TabelaCadastroCategorias[CodConta],"Não encontrado")</f>
        <v>2.3.4</v>
      </c>
      <c r="F68" s="10" t="str">
        <f>_xlfn.XLOOKUP(TabelaTransformada[[#This Row],[Conta]],TabelaCadastroCategorias[Conta],TabelaCadastroCategorias[CodContaContabil],"Não encontrado")</f>
        <v>2.3.4</v>
      </c>
    </row>
    <row r="69" spans="1:6" x14ac:dyDescent="0.4">
      <c r="A69" s="3" t="s">
        <v>147</v>
      </c>
      <c r="C69" s="11" t="s">
        <v>73</v>
      </c>
      <c r="D69" s="11" t="str">
        <f>_xlfn.XLOOKUP(TabelaTransformada[[#This Row],[Conta]],TabelaCadastroCategorias[Conta],TabelaCadastroCategorias[GrupoConta],"Não encontrado")</f>
        <v>100 - Custo Variável</v>
      </c>
      <c r="E69" s="11" t="str">
        <f>_xlfn.XLOOKUP(TabelaTransformada[[#This Row],[Conta]],TabelaCadastroCategorias[Conta],TabelaCadastroCategorias[CodConta],"Não encontrado")</f>
        <v>2.3.1</v>
      </c>
      <c r="F69" s="11" t="str">
        <f>_xlfn.XLOOKUP(TabelaTransformada[[#This Row],[Conta]],TabelaCadastroCategorias[Conta],TabelaCadastroCategorias[CodContaContabil],"Não encontrado")</f>
        <v>2.3.1</v>
      </c>
    </row>
    <row r="70" spans="1:6" x14ac:dyDescent="0.4">
      <c r="A70" s="3" t="s">
        <v>148</v>
      </c>
      <c r="C70" s="10" t="s">
        <v>34</v>
      </c>
      <c r="D70" s="10" t="str">
        <f>_xlfn.XLOOKUP(TabelaTransformada[[#This Row],[Conta]],TabelaCadastroCategorias[Conta],TabelaCadastroCategorias[GrupoConta],"Não encontrado")</f>
        <v>003 - Benefícios</v>
      </c>
      <c r="E70" s="10" t="str">
        <f>_xlfn.XLOOKUP(TabelaTransformada[[#This Row],[Conta]],TabelaCadastroCategorias[Conta],TabelaCadastroCategorias[CodConta],"Não encontrado")</f>
        <v>2.3.3</v>
      </c>
      <c r="F70" s="10" t="str">
        <f>_xlfn.XLOOKUP(TabelaTransformada[[#This Row],[Conta]],TabelaCadastroCategorias[Conta],TabelaCadastroCategorias[CodContaContabil],"Não encontrado")</f>
        <v>2.3.3</v>
      </c>
    </row>
    <row r="71" spans="1:6" x14ac:dyDescent="0.4">
      <c r="A71" s="3" t="s">
        <v>149</v>
      </c>
      <c r="C71" s="11" t="s">
        <v>34</v>
      </c>
      <c r="D71" s="11" t="str">
        <f>_xlfn.XLOOKUP(TabelaTransformada[[#This Row],[Conta]],TabelaCadastroCategorias[Conta],TabelaCadastroCategorias[GrupoConta],"Não encontrado")</f>
        <v>003 - Benefícios</v>
      </c>
      <c r="E71" s="11" t="str">
        <f>_xlfn.XLOOKUP(TabelaTransformada[[#This Row],[Conta]],TabelaCadastroCategorias[Conta],TabelaCadastroCategorias[CodConta],"Não encontrado")</f>
        <v>2.3.3</v>
      </c>
      <c r="F71" s="11" t="str">
        <f>_xlfn.XLOOKUP(TabelaTransformada[[#This Row],[Conta]],TabelaCadastroCategorias[Conta],TabelaCadastroCategorias[CodContaContabil],"Não encontrado")</f>
        <v>2.3.3</v>
      </c>
    </row>
    <row r="72" spans="1:6" x14ac:dyDescent="0.4">
      <c r="A72" s="3" t="s">
        <v>150</v>
      </c>
      <c r="C72" s="10" t="s">
        <v>34</v>
      </c>
      <c r="D72" s="10" t="str">
        <f>_xlfn.XLOOKUP(TabelaTransformada[[#This Row],[Conta]],TabelaCadastroCategorias[Conta],TabelaCadastroCategorias[GrupoConta],"Não encontrado")</f>
        <v>003 - Benefícios</v>
      </c>
      <c r="E72" s="10" t="str">
        <f>_xlfn.XLOOKUP(TabelaTransformada[[#This Row],[Conta]],TabelaCadastroCategorias[Conta],TabelaCadastroCategorias[CodConta],"Não encontrado")</f>
        <v>2.3.3</v>
      </c>
      <c r="F72" s="10" t="str">
        <f>_xlfn.XLOOKUP(TabelaTransformada[[#This Row],[Conta]],TabelaCadastroCategorias[Conta],TabelaCadastroCategorias[CodContaContabil],"Não encontrado")</f>
        <v>2.3.3</v>
      </c>
    </row>
    <row r="73" spans="1:6" x14ac:dyDescent="0.4">
      <c r="A73" s="3" t="s">
        <v>151</v>
      </c>
      <c r="C73" s="11" t="s">
        <v>43</v>
      </c>
      <c r="D73" s="11" t="str">
        <f>_xlfn.XLOOKUP(TabelaTransformada[[#This Row],[Conta]],TabelaCadastroCategorias[Conta],TabelaCadastroCategorias[GrupoConta],"Não encontrado")</f>
        <v>005 - Utilidades</v>
      </c>
      <c r="E73" s="11" t="str">
        <f>_xlfn.XLOOKUP(TabelaTransformada[[#This Row],[Conta]],TabelaCadastroCategorias[Conta],TabelaCadastroCategorias[CodConta],"Não encontrado")</f>
        <v>2.3.6</v>
      </c>
      <c r="F73" s="11" t="str">
        <f>_xlfn.XLOOKUP(TabelaTransformada[[#This Row],[Conta]],TabelaCadastroCategorias[Conta],TabelaCadastroCategorias[CodContaContabil],"Não encontrado")</f>
        <v>2.3.6</v>
      </c>
    </row>
    <row r="74" spans="1:6" x14ac:dyDescent="0.4">
      <c r="A74" s="3" t="s">
        <v>152</v>
      </c>
      <c r="C74" s="10" t="s">
        <v>55</v>
      </c>
      <c r="D74" s="10" t="str">
        <f>_xlfn.XLOOKUP(TabelaTransformada[[#This Row],[Conta]],TabelaCadastroCategorias[Conta],TabelaCadastroCategorias[GrupoConta],"Não encontrado")</f>
        <v>006 - Operações</v>
      </c>
      <c r="E74" s="10" t="str">
        <f>_xlfn.XLOOKUP(TabelaTransformada[[#This Row],[Conta]],TabelaCadastroCategorias[Conta],TabelaCadastroCategorias[CodConta],"Não encontrado")</f>
        <v>2.3.1</v>
      </c>
      <c r="F74" s="10" t="str">
        <f>_xlfn.XLOOKUP(TabelaTransformada[[#This Row],[Conta]],TabelaCadastroCategorias[Conta],TabelaCadastroCategorias[CodContaContabil],"Não encontrado")</f>
        <v>2.3.1</v>
      </c>
    </row>
    <row r="75" spans="1:6" x14ac:dyDescent="0.4">
      <c r="A75" s="3" t="s">
        <v>153</v>
      </c>
      <c r="C75" s="11" t="s">
        <v>54</v>
      </c>
      <c r="D75" s="11" t="str">
        <f>_xlfn.XLOOKUP(TabelaTransformada[[#This Row],[Conta]],TabelaCadastroCategorias[Conta],TabelaCadastroCategorias[GrupoConta],"Não encontrado")</f>
        <v>006 - Operações</v>
      </c>
      <c r="E75" s="11" t="str">
        <f>_xlfn.XLOOKUP(TabelaTransformada[[#This Row],[Conta]],TabelaCadastroCategorias[Conta],TabelaCadastroCategorias[CodConta],"Não encontrado")</f>
        <v>2.3.1</v>
      </c>
      <c r="F75" s="11" t="str">
        <f>_xlfn.XLOOKUP(TabelaTransformada[[#This Row],[Conta]],TabelaCadastroCategorias[Conta],TabelaCadastroCategorias[CodContaContabil],"Não encontrado")</f>
        <v>2.3.1</v>
      </c>
    </row>
    <row r="76" spans="1:6" x14ac:dyDescent="0.4">
      <c r="A76" s="3" t="s">
        <v>154</v>
      </c>
      <c r="C76" s="10" t="s">
        <v>55</v>
      </c>
      <c r="D76" s="10" t="str">
        <f>_xlfn.XLOOKUP(TabelaTransformada[[#This Row],[Conta]],TabelaCadastroCategorias[Conta],TabelaCadastroCategorias[GrupoConta],"Não encontrado")</f>
        <v>006 - Operações</v>
      </c>
      <c r="E76" s="10" t="str">
        <f>_xlfn.XLOOKUP(TabelaTransformada[[#This Row],[Conta]],TabelaCadastroCategorias[Conta],TabelaCadastroCategorias[CodConta],"Não encontrado")</f>
        <v>2.3.1</v>
      </c>
      <c r="F76" s="10" t="str">
        <f>_xlfn.XLOOKUP(TabelaTransformada[[#This Row],[Conta]],TabelaCadastroCategorias[Conta],TabelaCadastroCategorias[CodContaContabil],"Não encontrado")</f>
        <v>2.3.1</v>
      </c>
    </row>
    <row r="77" spans="1:6" x14ac:dyDescent="0.4">
      <c r="A77" s="25" t="s">
        <v>191</v>
      </c>
      <c r="C77" s="27" t="s">
        <v>25</v>
      </c>
      <c r="D77" s="28" t="str">
        <f>_xlfn.XLOOKUP(TabelaTransformada[[#This Row],[Conta]],TabelaCadastroCategorias[Conta],TabelaCadastroCategorias[GrupoConta],"Não encontrado")</f>
        <v>001 - Funcionários</v>
      </c>
      <c r="E77" s="28" t="str">
        <f>_xlfn.XLOOKUP(TabelaTransformada[[#This Row],[Conta]],TabelaCadastroCategorias[Conta],TabelaCadastroCategorias[CodConta],"Não encontrado")</f>
        <v>2.3.3</v>
      </c>
      <c r="F77" s="28" t="str">
        <f>_xlfn.XLOOKUP(TabelaTransformada[[#This Row],[Conta]],TabelaCadastroCategorias[Conta],TabelaCadastroCategorias[CodContaContabil],"Não encontrado")</f>
        <v>2.3.3</v>
      </c>
    </row>
    <row r="78" spans="1:6" x14ac:dyDescent="0.4">
      <c r="A78" s="25" t="s">
        <v>182</v>
      </c>
      <c r="C78" s="27" t="s">
        <v>199</v>
      </c>
      <c r="D78" s="28" t="str">
        <f>_xlfn.XLOOKUP(TabelaTransformada[[#This Row],[Conta]],TabelaCadastroCategorias[Conta],TabelaCadastroCategorias[GrupoConta],"Não encontrado")</f>
        <v>200 - Vendas</v>
      </c>
      <c r="E78" s="28" t="str">
        <f>_xlfn.XLOOKUP(TabelaTransformada[[#This Row],[Conta]],TabelaCadastroCategorias[Conta],TabelaCadastroCategorias[CodConta],"Não encontrado")</f>
        <v>1.1.2</v>
      </c>
      <c r="F78" s="28" t="str">
        <f>_xlfn.XLOOKUP(TabelaTransformada[[#This Row],[Conta]],TabelaCadastroCategorias[Conta],TabelaCadastroCategorias[CodContaContabil],"Não encontrado")</f>
        <v>1.1.2</v>
      </c>
    </row>
    <row r="79" spans="1:6" x14ac:dyDescent="0.4">
      <c r="A79" t="s">
        <v>182</v>
      </c>
      <c r="C79" s="27" t="s">
        <v>199</v>
      </c>
      <c r="D79" s="28" t="str">
        <f>_xlfn.XLOOKUP(TabelaTransformada[[#This Row],[Conta]],TabelaCadastroCategorias[Conta],TabelaCadastroCategorias[GrupoConta],"Não encontrado")</f>
        <v>200 - Vendas</v>
      </c>
      <c r="E79" s="28" t="str">
        <f>_xlfn.XLOOKUP(TabelaTransformada[[#This Row],[Conta]],TabelaCadastroCategorias[Conta],TabelaCadastroCategorias[CodConta],"Não encontrado")</f>
        <v>1.1.2</v>
      </c>
      <c r="F79" s="28" t="str">
        <f>_xlfn.XLOOKUP(TabelaTransformada[[#This Row],[Conta]],TabelaCadastroCategorias[Conta],TabelaCadastroCategorias[CodContaContabil],"Não encontrado")</f>
        <v>1.1.2</v>
      </c>
    </row>
    <row r="80" spans="1:6" x14ac:dyDescent="0.4">
      <c r="A80" t="s">
        <v>183</v>
      </c>
      <c r="C80" s="27" t="s">
        <v>199</v>
      </c>
      <c r="D80" s="28" t="str">
        <f>_xlfn.XLOOKUP(TabelaTransformada[[#This Row],[Conta]],TabelaCadastroCategorias[Conta],TabelaCadastroCategorias[GrupoConta],"Não encontrado")</f>
        <v>200 - Vendas</v>
      </c>
      <c r="E80" s="28" t="str">
        <f>_xlfn.XLOOKUP(TabelaTransformada[[#This Row],[Conta]],TabelaCadastroCategorias[Conta],TabelaCadastroCategorias[CodConta],"Não encontrado")</f>
        <v>1.1.2</v>
      </c>
      <c r="F80" s="28" t="str">
        <f>_xlfn.XLOOKUP(TabelaTransformada[[#This Row],[Conta]],TabelaCadastroCategorias[Conta],TabelaCadastroCategorias[CodContaContabil],"Não encontrado")</f>
        <v>1.1.2</v>
      </c>
    </row>
    <row r="81" spans="1:6" x14ac:dyDescent="0.4">
      <c r="A81" t="s">
        <v>184</v>
      </c>
      <c r="C81" s="27" t="s">
        <v>199</v>
      </c>
      <c r="D81" s="28" t="str">
        <f>_xlfn.XLOOKUP(TabelaTransformada[[#This Row],[Conta]],TabelaCadastroCategorias[Conta],TabelaCadastroCategorias[GrupoConta],"Não encontrado")</f>
        <v>200 - Vendas</v>
      </c>
      <c r="E81" s="28" t="str">
        <f>_xlfn.XLOOKUP(TabelaTransformada[[#This Row],[Conta]],TabelaCadastroCategorias[Conta],TabelaCadastroCategorias[CodConta],"Não encontrado")</f>
        <v>1.1.2</v>
      </c>
      <c r="F81" s="28" t="str">
        <f>_xlfn.XLOOKUP(TabelaTransformada[[#This Row],[Conta]],TabelaCadastroCategorias[Conta],TabelaCadastroCategorias[CodContaContabil],"Não encontrado")</f>
        <v>1.1.2</v>
      </c>
    </row>
    <row r="82" spans="1:6" x14ac:dyDescent="0.4">
      <c r="A82" t="s">
        <v>185</v>
      </c>
      <c r="C82" s="27" t="s">
        <v>201</v>
      </c>
      <c r="D82" s="28" t="str">
        <f>_xlfn.XLOOKUP(TabelaTransformada[[#This Row],[Conta]],TabelaCadastroCategorias[Conta],TabelaCadastroCategorias[GrupoConta],"Não encontrado")</f>
        <v>201 - Vendas</v>
      </c>
      <c r="E82" s="28" t="str">
        <f>_xlfn.XLOOKUP(TabelaTransformada[[#This Row],[Conta]],TabelaCadastroCategorias[Conta],TabelaCadastroCategorias[CodConta],"Não encontrado")</f>
        <v>1.1.2</v>
      </c>
      <c r="F82" s="28" t="str">
        <f>_xlfn.XLOOKUP(TabelaTransformada[[#This Row],[Conta]],TabelaCadastroCategorias[Conta],TabelaCadastroCategorias[CodContaContabil],"Não encontrado")</f>
        <v>1.1.2</v>
      </c>
    </row>
    <row r="83" spans="1:6" x14ac:dyDescent="0.4">
      <c r="A83" t="s">
        <v>186</v>
      </c>
      <c r="C83" s="27" t="s">
        <v>201</v>
      </c>
      <c r="D83" s="28" t="str">
        <f>_xlfn.XLOOKUP(TabelaTransformada[[#This Row],[Conta]],TabelaCadastroCategorias[Conta],TabelaCadastroCategorias[GrupoConta],"Não encontrado")</f>
        <v>201 - Vendas</v>
      </c>
      <c r="E83" s="28" t="str">
        <f>_xlfn.XLOOKUP(TabelaTransformada[[#This Row],[Conta]],TabelaCadastroCategorias[Conta],TabelaCadastroCategorias[CodConta],"Não encontrado")</f>
        <v>1.1.2</v>
      </c>
      <c r="F83" s="28" t="str">
        <f>_xlfn.XLOOKUP(TabelaTransformada[[#This Row],[Conta]],TabelaCadastroCategorias[Conta],TabelaCadastroCategorias[CodContaContabil],"Não encontrado")</f>
        <v>1.1.2</v>
      </c>
    </row>
    <row r="84" spans="1:6" x14ac:dyDescent="0.4">
      <c r="A84" t="s">
        <v>187</v>
      </c>
      <c r="C84" s="27" t="s">
        <v>201</v>
      </c>
      <c r="D84" s="28" t="str">
        <f>_xlfn.XLOOKUP(TabelaTransformada[[#This Row],[Conta]],TabelaCadastroCategorias[Conta],TabelaCadastroCategorias[GrupoConta],"Não encontrado")</f>
        <v>201 - Vendas</v>
      </c>
      <c r="E84" s="28" t="str">
        <f>_xlfn.XLOOKUP(TabelaTransformada[[#This Row],[Conta]],TabelaCadastroCategorias[Conta],TabelaCadastroCategorias[CodConta],"Não encontrado")</f>
        <v>1.1.2</v>
      </c>
      <c r="F84" s="28" t="str">
        <f>_xlfn.XLOOKUP(TabelaTransformada[[#This Row],[Conta]],TabelaCadastroCategorias[Conta],TabelaCadastroCategorias[CodContaContabil],"Não encontrado")</f>
        <v>1.1.2</v>
      </c>
    </row>
    <row r="85" spans="1:6" x14ac:dyDescent="0.4">
      <c r="A85" t="s">
        <v>183</v>
      </c>
      <c r="C85" s="27" t="s">
        <v>199</v>
      </c>
      <c r="D85" s="28" t="str">
        <f>_xlfn.XLOOKUP(TabelaTransformada[[#This Row],[Conta]],TabelaCadastroCategorias[Conta],TabelaCadastroCategorias[GrupoConta],"Não encontrado")</f>
        <v>200 - Vendas</v>
      </c>
      <c r="E85" s="28" t="str">
        <f>_xlfn.XLOOKUP(TabelaTransformada[[#This Row],[Conta]],TabelaCadastroCategorias[Conta],TabelaCadastroCategorias[CodConta],"Não encontrado")</f>
        <v>1.1.2</v>
      </c>
      <c r="F85" s="28" t="str">
        <f>_xlfn.XLOOKUP(TabelaTransformada[[#This Row],[Conta]],TabelaCadastroCategorias[Conta],TabelaCadastroCategorias[CodContaContabil],"Não encontrado")</f>
        <v>1.1.2</v>
      </c>
    </row>
    <row r="86" spans="1:6" x14ac:dyDescent="0.4">
      <c r="A86" t="s">
        <v>184</v>
      </c>
      <c r="C86" s="27" t="s">
        <v>199</v>
      </c>
      <c r="D86" s="28" t="str">
        <f>_xlfn.XLOOKUP(TabelaTransformada[[#This Row],[Conta]],TabelaCadastroCategorias[Conta],TabelaCadastroCategorias[GrupoConta],"Não encontrado")</f>
        <v>200 - Vendas</v>
      </c>
      <c r="E86" s="28" t="str">
        <f>_xlfn.XLOOKUP(TabelaTransformada[[#This Row],[Conta]],TabelaCadastroCategorias[Conta],TabelaCadastroCategorias[CodConta],"Não encontrado")</f>
        <v>1.1.2</v>
      </c>
      <c r="F86" s="28" t="str">
        <f>_xlfn.XLOOKUP(TabelaTransformada[[#This Row],[Conta]],TabelaCadastroCategorias[Conta],TabelaCadastroCategorias[CodContaContabil],"Não encontrado")</f>
        <v>1.1.2</v>
      </c>
    </row>
    <row r="87" spans="1:6" x14ac:dyDescent="0.4">
      <c r="A87" t="s">
        <v>188</v>
      </c>
      <c r="C87" s="27" t="s">
        <v>30</v>
      </c>
      <c r="D87" s="28" t="str">
        <f>_xlfn.XLOOKUP(TabelaTransformada[[#This Row],[Conta]],TabelaCadastroCategorias[Conta],TabelaCadastroCategorias[GrupoConta],"Não encontrado")</f>
        <v>002 - Encargos</v>
      </c>
      <c r="E87" s="28" t="str">
        <f>_xlfn.XLOOKUP(TabelaTransformada[[#This Row],[Conta]],TabelaCadastroCategorias[Conta],TabelaCadastroCategorias[CodConta],"Não encontrado")</f>
        <v>2.3.3</v>
      </c>
      <c r="F87" s="28" t="str">
        <f>_xlfn.XLOOKUP(TabelaTransformada[[#This Row],[Conta]],TabelaCadastroCategorias[Conta],TabelaCadastroCategorias[CodContaContabil],"Não encontrado")</f>
        <v>2.3.3</v>
      </c>
    </row>
    <row r="88" spans="1:6" x14ac:dyDescent="0.4">
      <c r="A88" t="s">
        <v>189</v>
      </c>
      <c r="C88" s="27" t="s">
        <v>199</v>
      </c>
      <c r="D88" s="28" t="str">
        <f>_xlfn.XLOOKUP(TabelaTransformada[[#This Row],[Conta]],TabelaCadastroCategorias[Conta],TabelaCadastroCategorias[GrupoConta],"Não encontrado")</f>
        <v>200 - Vendas</v>
      </c>
      <c r="E88" s="28" t="str">
        <f>_xlfn.XLOOKUP(TabelaTransformada[[#This Row],[Conta]],TabelaCadastroCategorias[Conta],TabelaCadastroCategorias[CodConta],"Não encontrado")</f>
        <v>1.1.2</v>
      </c>
      <c r="F88" s="28" t="str">
        <f>_xlfn.XLOOKUP(TabelaTransformada[[#This Row],[Conta]],TabelaCadastroCategorias[Conta],TabelaCadastroCategorias[CodContaContabil],"Não encontrado")</f>
        <v>1.1.2</v>
      </c>
    </row>
    <row r="89" spans="1:6" x14ac:dyDescent="0.4">
      <c r="A89" t="s">
        <v>190</v>
      </c>
      <c r="C89" s="27" t="s">
        <v>201</v>
      </c>
      <c r="D89" s="28" t="str">
        <f>_xlfn.XLOOKUP(TabelaTransformada[[#This Row],[Conta]],TabelaCadastroCategorias[Conta],TabelaCadastroCategorias[GrupoConta],"Não encontrado")</f>
        <v>201 - Vendas</v>
      </c>
      <c r="E89" s="28" t="str">
        <f>_xlfn.XLOOKUP(TabelaTransformada[[#This Row],[Conta]],TabelaCadastroCategorias[Conta],TabelaCadastroCategorias[CodConta],"Não encontrado")</f>
        <v>1.1.2</v>
      </c>
      <c r="F89" s="28" t="str">
        <f>_xlfn.XLOOKUP(TabelaTransformada[[#This Row],[Conta]],TabelaCadastroCategorias[Conta],TabelaCadastroCategorias[CodContaContabil],"Não encontrado")</f>
        <v>1.1.2</v>
      </c>
    </row>
    <row r="90" spans="1:6" x14ac:dyDescent="0.4">
      <c r="A90" t="s">
        <v>183</v>
      </c>
      <c r="C90" s="27" t="s">
        <v>199</v>
      </c>
      <c r="D90" s="28" t="str">
        <f>_xlfn.XLOOKUP(TabelaTransformada[[#This Row],[Conta]],TabelaCadastroCategorias[Conta],TabelaCadastroCategorias[GrupoConta],"Não encontrado")</f>
        <v>200 - Vendas</v>
      </c>
      <c r="E90" s="28" t="str">
        <f>_xlfn.XLOOKUP(TabelaTransformada[[#This Row],[Conta]],TabelaCadastroCategorias[Conta],TabelaCadastroCategorias[CodConta],"Não encontrado")</f>
        <v>1.1.2</v>
      </c>
      <c r="F90" s="28" t="str">
        <f>_xlfn.XLOOKUP(TabelaTransformada[[#This Row],[Conta]],TabelaCadastroCategorias[Conta],TabelaCadastroCategorias[CodContaContabil],"Não encontrado")</f>
        <v>1.1.2</v>
      </c>
    </row>
    <row r="91" spans="1:6" x14ac:dyDescent="0.4">
      <c r="A91" t="s">
        <v>188</v>
      </c>
      <c r="C91" s="27" t="s">
        <v>199</v>
      </c>
      <c r="D91" s="28" t="str">
        <f>_xlfn.XLOOKUP(TabelaTransformada[[#This Row],[Conta]],TabelaCadastroCategorias[Conta],TabelaCadastroCategorias[GrupoConta],"Não encontrado")</f>
        <v>200 - Vendas</v>
      </c>
      <c r="E91" s="28" t="str">
        <f>_xlfn.XLOOKUP(TabelaTransformada[[#This Row],[Conta]],TabelaCadastroCategorias[Conta],TabelaCadastroCategorias[CodConta],"Não encontrado")</f>
        <v>1.1.2</v>
      </c>
      <c r="F91" s="28" t="str">
        <f>_xlfn.XLOOKUP(TabelaTransformada[[#This Row],[Conta]],TabelaCadastroCategorias[Conta],TabelaCadastroCategorias[CodContaContabil],"Não encontrado")</f>
        <v>1.1.2</v>
      </c>
    </row>
    <row r="92" spans="1:6" x14ac:dyDescent="0.4">
      <c r="A92" t="s">
        <v>189</v>
      </c>
      <c r="C92" s="27" t="s">
        <v>199</v>
      </c>
      <c r="D92" s="28" t="str">
        <f>_xlfn.XLOOKUP(TabelaTransformada[[#This Row],[Conta]],TabelaCadastroCategorias[Conta],TabelaCadastroCategorias[GrupoConta],"Não encontrado")</f>
        <v>200 - Vendas</v>
      </c>
      <c r="E92" s="28" t="str">
        <f>_xlfn.XLOOKUP(TabelaTransformada[[#This Row],[Conta]],TabelaCadastroCategorias[Conta],TabelaCadastroCategorias[CodConta],"Não encontrado")</f>
        <v>1.1.2</v>
      </c>
      <c r="F92" s="28" t="str">
        <f>_xlfn.XLOOKUP(TabelaTransformada[[#This Row],[Conta]],TabelaCadastroCategorias[Conta],TabelaCadastroCategorias[CodContaContabil],"Não encontrado")</f>
        <v>1.1.2</v>
      </c>
    </row>
    <row r="93" spans="1:6" x14ac:dyDescent="0.4">
      <c r="A93" t="s">
        <v>183</v>
      </c>
      <c r="C93" s="27" t="s">
        <v>199</v>
      </c>
      <c r="D93" s="28" t="str">
        <f>_xlfn.XLOOKUP(TabelaTransformada[[#This Row],[Conta]],TabelaCadastroCategorias[Conta],TabelaCadastroCategorias[GrupoConta],"Não encontrado")</f>
        <v>200 - Vendas</v>
      </c>
      <c r="E93" s="28" t="str">
        <f>_xlfn.XLOOKUP(TabelaTransformada[[#This Row],[Conta]],TabelaCadastroCategorias[Conta],TabelaCadastroCategorias[CodConta],"Não encontrado")</f>
        <v>1.1.2</v>
      </c>
      <c r="F93" s="28" t="str">
        <f>_xlfn.XLOOKUP(TabelaTransformada[[#This Row],[Conta]],TabelaCadastroCategorias[Conta],TabelaCadastroCategorias[CodContaContabil],"Não encontrado")</f>
        <v>1.1.2</v>
      </c>
    </row>
    <row r="94" spans="1:6" x14ac:dyDescent="0.4">
      <c r="A94" t="s">
        <v>188</v>
      </c>
      <c r="C94" s="27" t="s">
        <v>199</v>
      </c>
      <c r="D94" s="28" t="str">
        <f>_xlfn.XLOOKUP(TabelaTransformada[[#This Row],[Conta]],TabelaCadastroCategorias[Conta],TabelaCadastroCategorias[GrupoConta],"Não encontrado")</f>
        <v>200 - Vendas</v>
      </c>
      <c r="E94" s="28" t="str">
        <f>_xlfn.XLOOKUP(TabelaTransformada[[#This Row],[Conta]],TabelaCadastroCategorias[Conta],TabelaCadastroCategorias[CodConta],"Não encontrado")</f>
        <v>1.1.2</v>
      </c>
      <c r="F94" s="28" t="str">
        <f>_xlfn.XLOOKUP(TabelaTransformada[[#This Row],[Conta]],TabelaCadastroCategorias[Conta],TabelaCadastroCategorias[CodContaContabil],"Não encontrado")</f>
        <v>1.1.2</v>
      </c>
    </row>
    <row r="95" spans="1:6" x14ac:dyDescent="0.4">
      <c r="A95" t="s">
        <v>189</v>
      </c>
      <c r="C95" s="27" t="s">
        <v>199</v>
      </c>
      <c r="D95" s="28" t="str">
        <f>_xlfn.XLOOKUP(TabelaTransformada[[#This Row],[Conta]],TabelaCadastroCategorias[Conta],TabelaCadastroCategorias[GrupoConta],"Não encontrado")</f>
        <v>200 - Vendas</v>
      </c>
      <c r="E95" s="28" t="str">
        <f>_xlfn.XLOOKUP(TabelaTransformada[[#This Row],[Conta]],TabelaCadastroCategorias[Conta],TabelaCadastroCategorias[CodConta],"Não encontrado")</f>
        <v>1.1.2</v>
      </c>
      <c r="F95" s="28" t="str">
        <f>_xlfn.XLOOKUP(TabelaTransformada[[#This Row],[Conta]],TabelaCadastroCategorias[Conta],TabelaCadastroCategorias[CodContaContabil],"Não encontrado")</f>
        <v>1.1.2</v>
      </c>
    </row>
    <row r="96" spans="1:6" x14ac:dyDescent="0.4">
      <c r="A96" t="s">
        <v>191</v>
      </c>
      <c r="C96" s="27" t="s">
        <v>201</v>
      </c>
      <c r="D96" s="28" t="str">
        <f>_xlfn.XLOOKUP(TabelaTransformada[[#This Row],[Conta]],TabelaCadastroCategorias[Conta],TabelaCadastroCategorias[GrupoConta],"Não encontrado")</f>
        <v>201 - Vendas</v>
      </c>
      <c r="E96" s="28" t="str">
        <f>_xlfn.XLOOKUP(TabelaTransformada[[#This Row],[Conta]],TabelaCadastroCategorias[Conta],TabelaCadastroCategorias[CodConta],"Não encontrado")</f>
        <v>1.1.2</v>
      </c>
      <c r="F96" s="28" t="str">
        <f>_xlfn.XLOOKUP(TabelaTransformada[[#This Row],[Conta]],TabelaCadastroCategorias[Conta],TabelaCadastroCategorias[CodContaContabil],"Não encontrado")</f>
        <v>1.1.2</v>
      </c>
    </row>
    <row r="97" spans="1:6" x14ac:dyDescent="0.4">
      <c r="A97" t="s">
        <v>182</v>
      </c>
      <c r="C97" s="27" t="s">
        <v>199</v>
      </c>
      <c r="D97" s="28" t="str">
        <f>_xlfn.XLOOKUP(TabelaTransformada[[#This Row],[Conta]],TabelaCadastroCategorias[Conta],TabelaCadastroCategorias[GrupoConta],"Não encontrado")</f>
        <v>200 - Vendas</v>
      </c>
      <c r="E97" s="28" t="str">
        <f>_xlfn.XLOOKUP(TabelaTransformada[[#This Row],[Conta]],TabelaCadastroCategorias[Conta],TabelaCadastroCategorias[CodConta],"Não encontrado")</f>
        <v>1.1.2</v>
      </c>
      <c r="F97" s="28" t="str">
        <f>_xlfn.XLOOKUP(TabelaTransformada[[#This Row],[Conta]],TabelaCadastroCategorias[Conta],TabelaCadastroCategorias[CodContaContabil],"Não encontrado")</f>
        <v>1.1.2</v>
      </c>
    </row>
    <row r="98" spans="1:6" x14ac:dyDescent="0.4">
      <c r="A98" t="s">
        <v>183</v>
      </c>
      <c r="C98" s="26" t="s">
        <v>199</v>
      </c>
      <c r="D98" s="11" t="str">
        <f>_xlfn.XLOOKUP(TabelaTransformada[[#This Row],[Conta]],TabelaCadastroCategorias[Conta],TabelaCadastroCategorias[GrupoConta],"Não encontrado")</f>
        <v>200 - Vendas</v>
      </c>
      <c r="E98" s="11" t="str">
        <f>_xlfn.XLOOKUP(TabelaTransformada[[#This Row],[Conta]],TabelaCadastroCategorias[Conta],TabelaCadastroCategorias[CodConta],"Não encontrado")</f>
        <v>1.1.2</v>
      </c>
      <c r="F98" s="11" t="str">
        <f>_xlfn.XLOOKUP(TabelaTransformada[[#This Row],[Conta]],TabelaCadastroCategorias[Conta],TabelaCadastroCategorias[CodContaContabil],"Não encontrado")</f>
        <v>1.1.2</v>
      </c>
    </row>
    <row r="99" spans="1:6" x14ac:dyDescent="0.4">
      <c r="A99" t="s">
        <v>184</v>
      </c>
      <c r="C99" s="26" t="s">
        <v>199</v>
      </c>
      <c r="D99" s="11" t="str">
        <f>_xlfn.XLOOKUP(TabelaTransformada[[#This Row],[Conta]],TabelaCadastroCategorias[Conta],TabelaCadastroCategorias[GrupoConta],"Não encontrado")</f>
        <v>200 - Vendas</v>
      </c>
      <c r="E99" s="11" t="str">
        <f>_xlfn.XLOOKUP(TabelaTransformada[[#This Row],[Conta]],TabelaCadastroCategorias[Conta],TabelaCadastroCategorias[CodConta],"Não encontrado")</f>
        <v>1.1.2</v>
      </c>
      <c r="F99" s="11" t="str">
        <f>_xlfn.XLOOKUP(TabelaTransformada[[#This Row],[Conta]],TabelaCadastroCategorias[Conta],TabelaCadastroCategorias[CodContaContabil],"Não encontrado")</f>
        <v>1.1.2</v>
      </c>
    </row>
    <row r="100" spans="1:6" x14ac:dyDescent="0.4">
      <c r="A100" t="s">
        <v>188</v>
      </c>
      <c r="C100" s="26" t="s">
        <v>199</v>
      </c>
      <c r="D100" s="11" t="str">
        <f>_xlfn.XLOOKUP(TabelaTransformada[[#This Row],[Conta]],TabelaCadastroCategorias[Conta],TabelaCadastroCategorias[GrupoConta],"Não encontrado")</f>
        <v>200 - Vendas</v>
      </c>
      <c r="E100" s="11" t="str">
        <f>_xlfn.XLOOKUP(TabelaTransformada[[#This Row],[Conta]],TabelaCadastroCategorias[Conta],TabelaCadastroCategorias[CodConta],"Não encontrado")</f>
        <v>1.1.2</v>
      </c>
      <c r="F100" s="11" t="str">
        <f>_xlfn.XLOOKUP(TabelaTransformada[[#This Row],[Conta]],TabelaCadastroCategorias[Conta],TabelaCadastroCategorias[CodContaContabil],"Não encontrado")</f>
        <v>1.1.2</v>
      </c>
    </row>
    <row r="101" spans="1:6" x14ac:dyDescent="0.4">
      <c r="A101" t="s">
        <v>189</v>
      </c>
      <c r="C101" s="27" t="s">
        <v>199</v>
      </c>
      <c r="D101" s="28" t="str">
        <f>_xlfn.XLOOKUP(TabelaTransformada[[#This Row],[Conta]],TabelaCadastroCategorias[Conta],TabelaCadastroCategorias[GrupoConta],"Não encontrado")</f>
        <v>200 - Vendas</v>
      </c>
      <c r="E101" s="28" t="str">
        <f>_xlfn.XLOOKUP(TabelaTransformada[[#This Row],[Conta]],TabelaCadastroCategorias[Conta],TabelaCadastroCategorias[CodConta],"Não encontrado")</f>
        <v>1.1.2</v>
      </c>
      <c r="F101" s="28" t="str">
        <f>_xlfn.XLOOKUP(TabelaTransformada[[#This Row],[Conta]],TabelaCadastroCategorias[Conta],TabelaCadastroCategorias[CodContaContabil],"Não encontrado")</f>
        <v>1.1.2</v>
      </c>
    </row>
    <row r="102" spans="1:6" x14ac:dyDescent="0.4">
      <c r="A102" t="s">
        <v>191</v>
      </c>
      <c r="C102" s="27" t="s">
        <v>201</v>
      </c>
      <c r="D102" s="28" t="str">
        <f>_xlfn.XLOOKUP(TabelaTransformada[[#This Row],[Conta]],TabelaCadastroCategorias[Conta],TabelaCadastroCategorias[GrupoConta],"Não encontrado")</f>
        <v>201 - Vendas</v>
      </c>
      <c r="E102" s="28" t="str">
        <f>_xlfn.XLOOKUP(TabelaTransformada[[#This Row],[Conta]],TabelaCadastroCategorias[Conta],TabelaCadastroCategorias[CodConta],"Não encontrado")</f>
        <v>1.1.2</v>
      </c>
      <c r="F102" s="28" t="str">
        <f>_xlfn.XLOOKUP(TabelaTransformada[[#This Row],[Conta]],TabelaCadastroCategorias[Conta],TabelaCadastroCategorias[CodContaContabil],"Não encontrado")</f>
        <v>1.1.2</v>
      </c>
    </row>
    <row r="103" spans="1:6" x14ac:dyDescent="0.4">
      <c r="A103" t="s">
        <v>182</v>
      </c>
      <c r="C103" s="26" t="s">
        <v>199</v>
      </c>
      <c r="D103" s="11" t="str">
        <f>_xlfn.XLOOKUP(TabelaTransformada[[#This Row],[Conta]],TabelaCadastroCategorias[Conta],TabelaCadastroCategorias[GrupoConta],"Não encontrado")</f>
        <v>200 - Vendas</v>
      </c>
      <c r="E103" s="11" t="str">
        <f>_xlfn.XLOOKUP(TabelaTransformada[[#This Row],[Conta]],TabelaCadastroCategorias[Conta],TabelaCadastroCategorias[CodConta],"Não encontrado")</f>
        <v>1.1.2</v>
      </c>
      <c r="F103" s="11" t="str">
        <f>_xlfn.XLOOKUP(TabelaTransformada[[#This Row],[Conta]],TabelaCadastroCategorias[Conta],TabelaCadastroCategorias[CodContaContabil],"Não encontrado")</f>
        <v>1.1.2</v>
      </c>
    </row>
    <row r="104" spans="1:6" x14ac:dyDescent="0.4">
      <c r="A104" t="s">
        <v>183</v>
      </c>
      <c r="C104" s="26" t="s">
        <v>199</v>
      </c>
      <c r="D104" s="11" t="str">
        <f>_xlfn.XLOOKUP(TabelaTransformada[[#This Row],[Conta]],TabelaCadastroCategorias[Conta],TabelaCadastroCategorias[GrupoConta],"Não encontrado")</f>
        <v>200 - Vendas</v>
      </c>
      <c r="E104" s="11" t="str">
        <f>_xlfn.XLOOKUP(TabelaTransformada[[#This Row],[Conta]],TabelaCadastroCategorias[Conta],TabelaCadastroCategorias[CodConta],"Não encontrado")</f>
        <v>1.1.2</v>
      </c>
      <c r="F104" s="11" t="str">
        <f>_xlfn.XLOOKUP(TabelaTransformada[[#This Row],[Conta]],TabelaCadastroCategorias[Conta],TabelaCadastroCategorias[CodContaContabil],"Não encontrado")</f>
        <v>1.1.2</v>
      </c>
    </row>
    <row r="105" spans="1:6" x14ac:dyDescent="0.4">
      <c r="A105" t="s">
        <v>184</v>
      </c>
      <c r="C105" s="26" t="s">
        <v>199</v>
      </c>
      <c r="D105" s="11" t="str">
        <f>_xlfn.XLOOKUP(TabelaTransformada[[#This Row],[Conta]],TabelaCadastroCategorias[Conta],TabelaCadastroCategorias[GrupoConta],"Não encontrado")</f>
        <v>200 - Vendas</v>
      </c>
      <c r="E105" s="11" t="str">
        <f>_xlfn.XLOOKUP(TabelaTransformada[[#This Row],[Conta]],TabelaCadastroCategorias[Conta],TabelaCadastroCategorias[CodConta],"Não encontrado")</f>
        <v>1.1.2</v>
      </c>
      <c r="F105" s="11" t="str">
        <f>_xlfn.XLOOKUP(TabelaTransformada[[#This Row],[Conta]],TabelaCadastroCategorias[Conta],TabelaCadastroCategorias[CodContaContabil],"Não encontrado")</f>
        <v>1.1.2</v>
      </c>
    </row>
    <row r="106" spans="1:6" x14ac:dyDescent="0.4">
      <c r="A106" t="s">
        <v>188</v>
      </c>
      <c r="C106" s="26" t="s">
        <v>199</v>
      </c>
      <c r="D106" s="11" t="str">
        <f>_xlfn.XLOOKUP(TabelaTransformada[[#This Row],[Conta]],TabelaCadastroCategorias[Conta],TabelaCadastroCategorias[GrupoConta],"Não encontrado")</f>
        <v>200 - Vendas</v>
      </c>
      <c r="E106" s="11" t="str">
        <f>_xlfn.XLOOKUP(TabelaTransformada[[#This Row],[Conta]],TabelaCadastroCategorias[Conta],TabelaCadastroCategorias[CodConta],"Não encontrado")</f>
        <v>1.1.2</v>
      </c>
      <c r="F106" s="11" t="str">
        <f>_xlfn.XLOOKUP(TabelaTransformada[[#This Row],[Conta]],TabelaCadastroCategorias[Conta],TabelaCadastroCategorias[CodContaContabil],"Não encontrado")</f>
        <v>1.1.2</v>
      </c>
    </row>
    <row r="107" spans="1:6" x14ac:dyDescent="0.4">
      <c r="A107" t="s">
        <v>189</v>
      </c>
      <c r="C107" s="26" t="s">
        <v>199</v>
      </c>
      <c r="D107" s="11" t="str">
        <f>_xlfn.XLOOKUP(TabelaTransformada[[#This Row],[Conta]],TabelaCadastroCategorias[Conta],TabelaCadastroCategorias[GrupoConta],"Não encontrado")</f>
        <v>200 - Vendas</v>
      </c>
      <c r="E107" s="11" t="str">
        <f>_xlfn.XLOOKUP(TabelaTransformada[[#This Row],[Conta]],TabelaCadastroCategorias[Conta],TabelaCadastroCategorias[CodConta],"Não encontrado")</f>
        <v>1.1.2</v>
      </c>
      <c r="F107" s="11" t="str">
        <f>_xlfn.XLOOKUP(TabelaTransformada[[#This Row],[Conta]],TabelaCadastroCategorias[Conta],TabelaCadastroCategorias[CodContaContabil],"Não encontrado")</f>
        <v>1.1.2</v>
      </c>
    </row>
    <row r="108" spans="1:6" x14ac:dyDescent="0.4">
      <c r="A108" t="s">
        <v>183</v>
      </c>
      <c r="C108" s="26" t="s">
        <v>199</v>
      </c>
      <c r="D108" s="11" t="str">
        <f>_xlfn.XLOOKUP(TabelaTransformada[[#This Row],[Conta]],TabelaCadastroCategorias[Conta],TabelaCadastroCategorias[GrupoConta],"Não encontrado")</f>
        <v>200 - Vendas</v>
      </c>
      <c r="E108" s="11" t="str">
        <f>_xlfn.XLOOKUP(TabelaTransformada[[#This Row],[Conta]],TabelaCadastroCategorias[Conta],TabelaCadastroCategorias[CodConta],"Não encontrado")</f>
        <v>1.1.2</v>
      </c>
      <c r="F108" s="11" t="str">
        <f>_xlfn.XLOOKUP(TabelaTransformada[[#This Row],[Conta]],TabelaCadastroCategorias[Conta],TabelaCadastroCategorias[CodContaContabil],"Não encontrado")</f>
        <v>1.1.2</v>
      </c>
    </row>
    <row r="109" spans="1:6" x14ac:dyDescent="0.4">
      <c r="A109" t="s">
        <v>192</v>
      </c>
      <c r="C109" s="26" t="s">
        <v>199</v>
      </c>
      <c r="D109" s="11" t="str">
        <f>_xlfn.XLOOKUP(TabelaTransformada[[#This Row],[Conta]],TabelaCadastroCategorias[Conta],TabelaCadastroCategorias[GrupoConta],"Não encontrado")</f>
        <v>200 - Vendas</v>
      </c>
      <c r="E109" s="11" t="str">
        <f>_xlfn.XLOOKUP(TabelaTransformada[[#This Row],[Conta]],TabelaCadastroCategorias[Conta],TabelaCadastroCategorias[CodConta],"Não encontrado")</f>
        <v>1.1.2</v>
      </c>
      <c r="F109" s="11" t="str">
        <f>_xlfn.XLOOKUP(TabelaTransformada[[#This Row],[Conta]],TabelaCadastroCategorias[Conta],TabelaCadastroCategorias[CodContaContabil],"Não encontrado")</f>
        <v>1.1.2</v>
      </c>
    </row>
    <row r="110" spans="1:6" x14ac:dyDescent="0.4">
      <c r="A110" t="s">
        <v>193</v>
      </c>
      <c r="C110" s="26" t="s">
        <v>199</v>
      </c>
      <c r="D110" s="11" t="str">
        <f>_xlfn.XLOOKUP(TabelaTransformada[[#This Row],[Conta]],TabelaCadastroCategorias[Conta],TabelaCadastroCategorias[GrupoConta],"Não encontrado")</f>
        <v>200 - Vendas</v>
      </c>
      <c r="E110" s="11" t="str">
        <f>_xlfn.XLOOKUP(TabelaTransformada[[#This Row],[Conta]],TabelaCadastroCategorias[Conta],TabelaCadastroCategorias[CodConta],"Não encontrado")</f>
        <v>1.1.2</v>
      </c>
      <c r="F110" s="11" t="str">
        <f>_xlfn.XLOOKUP(TabelaTransformada[[#This Row],[Conta]],TabelaCadastroCategorias[Conta],TabelaCadastroCategorias[CodContaContabil],"Não encontrado")</f>
        <v>1.1.2</v>
      </c>
    </row>
    <row r="111" spans="1:6" x14ac:dyDescent="0.4">
      <c r="A111" t="s">
        <v>188</v>
      </c>
      <c r="C111" s="26" t="s">
        <v>199</v>
      </c>
      <c r="D111" s="11" t="str">
        <f>_xlfn.XLOOKUP(TabelaTransformada[[#This Row],[Conta]],TabelaCadastroCategorias[Conta],TabelaCadastroCategorias[GrupoConta],"Não encontrado")</f>
        <v>200 - Vendas</v>
      </c>
      <c r="E111" s="11" t="str">
        <f>_xlfn.XLOOKUP(TabelaTransformada[[#This Row],[Conta]],TabelaCadastroCategorias[Conta],TabelaCadastroCategorias[CodConta],"Não encontrado")</f>
        <v>1.1.2</v>
      </c>
      <c r="F111" s="11" t="str">
        <f>_xlfn.XLOOKUP(TabelaTransformada[[#This Row],[Conta]],TabelaCadastroCategorias[Conta],TabelaCadastroCategorias[CodContaContabil],"Não encontrado")</f>
        <v>1.1.2</v>
      </c>
    </row>
    <row r="112" spans="1:6" x14ac:dyDescent="0.4">
      <c r="A112" t="s">
        <v>189</v>
      </c>
      <c r="C112" s="27" t="s">
        <v>199</v>
      </c>
      <c r="D112" s="28" t="str">
        <f>_xlfn.XLOOKUP(TabelaTransformada[[#This Row],[Conta]],TabelaCadastroCategorias[Conta],TabelaCadastroCategorias[GrupoConta],"Não encontrado")</f>
        <v>200 - Vendas</v>
      </c>
      <c r="E112" s="28" t="str">
        <f>_xlfn.XLOOKUP(TabelaTransformada[[#This Row],[Conta]],TabelaCadastroCategorias[Conta],TabelaCadastroCategorias[CodConta],"Não encontrado")</f>
        <v>1.1.2</v>
      </c>
      <c r="F112" s="28" t="str">
        <f>_xlfn.XLOOKUP(TabelaTransformada[[#This Row],[Conta]],TabelaCadastroCategorias[Conta],TabelaCadastroCategorias[CodContaContabil],"Não encontrado")</f>
        <v>1.1.2</v>
      </c>
    </row>
    <row r="113" spans="1:6" x14ac:dyDescent="0.4">
      <c r="A113" t="s">
        <v>194</v>
      </c>
      <c r="C113" s="26" t="s">
        <v>201</v>
      </c>
      <c r="D113" s="11" t="str">
        <f>_xlfn.XLOOKUP(TabelaTransformada[[#This Row],[Conta]],TabelaCadastroCategorias[Conta],TabelaCadastroCategorias[GrupoConta],"Não encontrado")</f>
        <v>201 - Vendas</v>
      </c>
      <c r="E113" s="11" t="str">
        <f>_xlfn.XLOOKUP(TabelaTransformada[[#This Row],[Conta]],TabelaCadastroCategorias[Conta],TabelaCadastroCategorias[CodConta],"Não encontrado")</f>
        <v>1.1.2</v>
      </c>
      <c r="F113" s="11" t="str">
        <f>_xlfn.XLOOKUP(TabelaTransformada[[#This Row],[Conta]],TabelaCadastroCategorias[Conta],TabelaCadastroCategorias[CodContaContabil],"Não encontrado")</f>
        <v>1.1.2</v>
      </c>
    </row>
    <row r="114" spans="1:6" x14ac:dyDescent="0.4">
      <c r="A114" t="s">
        <v>194</v>
      </c>
      <c r="C114" s="26" t="s">
        <v>201</v>
      </c>
      <c r="D114" s="11" t="str">
        <f>_xlfn.XLOOKUP(TabelaTransformada[[#This Row],[Conta]],TabelaCadastroCategorias[Conta],TabelaCadastroCategorias[GrupoConta],"Não encontrado")</f>
        <v>201 - Vendas</v>
      </c>
      <c r="E114" s="11" t="str">
        <f>_xlfn.XLOOKUP(TabelaTransformada[[#This Row],[Conta]],TabelaCadastroCategorias[Conta],TabelaCadastroCategorias[CodConta],"Não encontrado")</f>
        <v>1.1.2</v>
      </c>
      <c r="F114" s="11" t="str">
        <f>_xlfn.XLOOKUP(TabelaTransformada[[#This Row],[Conta]],TabelaCadastroCategorias[Conta],TabelaCadastroCategorias[CodContaContabil],"Não encontrado")</f>
        <v>1.1.2</v>
      </c>
    </row>
    <row r="115" spans="1:6" x14ac:dyDescent="0.4">
      <c r="A115" t="s">
        <v>191</v>
      </c>
      <c r="C115" s="27" t="s">
        <v>201</v>
      </c>
      <c r="D115" s="28" t="str">
        <f>_xlfn.XLOOKUP(TabelaTransformada[[#This Row],[Conta]],TabelaCadastroCategorias[Conta],TabelaCadastroCategorias[GrupoConta],"Não encontrado")</f>
        <v>201 - Vendas</v>
      </c>
      <c r="E115" s="28" t="str">
        <f>_xlfn.XLOOKUP(TabelaTransformada[[#This Row],[Conta]],TabelaCadastroCategorias[Conta],TabelaCadastroCategorias[CodConta],"Não encontrado")</f>
        <v>1.1.2</v>
      </c>
      <c r="F115" s="28" t="str">
        <f>_xlfn.XLOOKUP(TabelaTransformada[[#This Row],[Conta]],TabelaCadastroCategorias[Conta],TabelaCadastroCategorias[CodContaContabil],"Não encontrado")</f>
        <v>1.1.2</v>
      </c>
    </row>
    <row r="116" spans="1:6" x14ac:dyDescent="0.4">
      <c r="A116" t="s">
        <v>183</v>
      </c>
      <c r="C116" s="26" t="s">
        <v>199</v>
      </c>
      <c r="D116" s="11" t="str">
        <f>_xlfn.XLOOKUP(TabelaTransformada[[#This Row],[Conta]],TabelaCadastroCategorias[Conta],TabelaCadastroCategorias[GrupoConta],"Não encontrado")</f>
        <v>200 - Vendas</v>
      </c>
      <c r="E116" s="11" t="str">
        <f>_xlfn.XLOOKUP(TabelaTransformada[[#This Row],[Conta]],TabelaCadastroCategorias[Conta],TabelaCadastroCategorias[CodConta],"Não encontrado")</f>
        <v>1.1.2</v>
      </c>
      <c r="F116" s="11" t="str">
        <f>_xlfn.XLOOKUP(TabelaTransformada[[#This Row],[Conta]],TabelaCadastroCategorias[Conta],TabelaCadastroCategorias[CodContaContabil],"Não encontrado")</f>
        <v>1.1.2</v>
      </c>
    </row>
    <row r="117" spans="1:6" x14ac:dyDescent="0.4">
      <c r="A117" t="s">
        <v>184</v>
      </c>
      <c r="C117" s="26" t="s">
        <v>199</v>
      </c>
      <c r="D117" s="11" t="str">
        <f>_xlfn.XLOOKUP(TabelaTransformada[[#This Row],[Conta]],TabelaCadastroCategorias[Conta],TabelaCadastroCategorias[GrupoConta],"Não encontrado")</f>
        <v>200 - Vendas</v>
      </c>
      <c r="E117" s="11" t="str">
        <f>_xlfn.XLOOKUP(TabelaTransformada[[#This Row],[Conta]],TabelaCadastroCategorias[Conta],TabelaCadastroCategorias[CodConta],"Não encontrado")</f>
        <v>1.1.2</v>
      </c>
      <c r="F117" s="11" t="str">
        <f>_xlfn.XLOOKUP(TabelaTransformada[[#This Row],[Conta]],TabelaCadastroCategorias[Conta],TabelaCadastroCategorias[CodContaContabil],"Não encontrado")</f>
        <v>1.1.2</v>
      </c>
    </row>
    <row r="118" spans="1:6" x14ac:dyDescent="0.4">
      <c r="A118" t="s">
        <v>188</v>
      </c>
      <c r="C118" s="26" t="s">
        <v>199</v>
      </c>
      <c r="D118" s="11" t="str">
        <f>_xlfn.XLOOKUP(TabelaTransformada[[#This Row],[Conta]],TabelaCadastroCategorias[Conta],TabelaCadastroCategorias[GrupoConta],"Não encontrado")</f>
        <v>200 - Vendas</v>
      </c>
      <c r="E118" s="11" t="str">
        <f>_xlfn.XLOOKUP(TabelaTransformada[[#This Row],[Conta]],TabelaCadastroCategorias[Conta],TabelaCadastroCategorias[CodConta],"Não encontrado")</f>
        <v>1.1.2</v>
      </c>
      <c r="F118" s="11" t="str">
        <f>_xlfn.XLOOKUP(TabelaTransformada[[#This Row],[Conta]],TabelaCadastroCategorias[Conta],TabelaCadastroCategorias[CodContaContabil],"Não encontrado")</f>
        <v>1.1.2</v>
      </c>
    </row>
    <row r="119" spans="1:6" x14ac:dyDescent="0.4">
      <c r="A119" t="s">
        <v>189</v>
      </c>
      <c r="C119" s="27" t="s">
        <v>199</v>
      </c>
      <c r="D119" s="28" t="str">
        <f>_xlfn.XLOOKUP(TabelaTransformada[[#This Row],[Conta]],TabelaCadastroCategorias[Conta],TabelaCadastroCategorias[GrupoConta],"Não encontrado")</f>
        <v>200 - Vendas</v>
      </c>
      <c r="E119" s="28" t="str">
        <f>_xlfn.XLOOKUP(TabelaTransformada[[#This Row],[Conta]],TabelaCadastroCategorias[Conta],TabelaCadastroCategorias[CodConta],"Não encontrado")</f>
        <v>1.1.2</v>
      </c>
      <c r="F119" s="28" t="str">
        <f>_xlfn.XLOOKUP(TabelaTransformada[[#This Row],[Conta]],TabelaCadastroCategorias[Conta],TabelaCadastroCategorias[CodContaContabil],"Não encontrado")</f>
        <v>1.1.2</v>
      </c>
    </row>
    <row r="120" spans="1:6" x14ac:dyDescent="0.4">
      <c r="A120" t="s">
        <v>191</v>
      </c>
      <c r="C120" s="27" t="s">
        <v>201</v>
      </c>
      <c r="D120" s="28" t="str">
        <f>_xlfn.XLOOKUP(TabelaTransformada[[#This Row],[Conta]],TabelaCadastroCategorias[Conta],TabelaCadastroCategorias[GrupoConta],"Não encontrado")</f>
        <v>201 - Vendas</v>
      </c>
      <c r="E120" s="28" t="str">
        <f>_xlfn.XLOOKUP(TabelaTransformada[[#This Row],[Conta]],TabelaCadastroCategorias[Conta],TabelaCadastroCategorias[CodConta],"Não encontrado")</f>
        <v>1.1.2</v>
      </c>
      <c r="F120" s="28" t="str">
        <f>_xlfn.XLOOKUP(TabelaTransformada[[#This Row],[Conta]],TabelaCadastroCategorias[Conta],TabelaCadastroCategorias[CodContaContabil],"Não encontrado")</f>
        <v>1.1.2</v>
      </c>
    </row>
    <row r="121" spans="1:6" x14ac:dyDescent="0.4">
      <c r="A121" t="s">
        <v>182</v>
      </c>
      <c r="C121" s="26" t="s">
        <v>199</v>
      </c>
      <c r="D121" s="11" t="str">
        <f>_xlfn.XLOOKUP(TabelaTransformada[[#This Row],[Conta]],TabelaCadastroCategorias[Conta],TabelaCadastroCategorias[GrupoConta],"Não encontrado")</f>
        <v>200 - Vendas</v>
      </c>
      <c r="E121" s="11" t="str">
        <f>_xlfn.XLOOKUP(TabelaTransformada[[#This Row],[Conta]],TabelaCadastroCategorias[Conta],TabelaCadastroCategorias[CodConta],"Não encontrado")</f>
        <v>1.1.2</v>
      </c>
      <c r="F121" s="11" t="str">
        <f>_xlfn.XLOOKUP(TabelaTransformada[[#This Row],[Conta]],TabelaCadastroCategorias[Conta],TabelaCadastroCategorias[CodContaContabil],"Não encontrado")</f>
        <v>1.1.2</v>
      </c>
    </row>
    <row r="122" spans="1:6" x14ac:dyDescent="0.4">
      <c r="A122" t="s">
        <v>183</v>
      </c>
      <c r="C122" s="26" t="s">
        <v>199</v>
      </c>
      <c r="D122" s="11" t="str">
        <f>_xlfn.XLOOKUP(TabelaTransformada[[#This Row],[Conta]],TabelaCadastroCategorias[Conta],TabelaCadastroCategorias[GrupoConta],"Não encontrado")</f>
        <v>200 - Vendas</v>
      </c>
      <c r="E122" s="11" t="str">
        <f>_xlfn.XLOOKUP(TabelaTransformada[[#This Row],[Conta]],TabelaCadastroCategorias[Conta],TabelaCadastroCategorias[CodConta],"Não encontrado")</f>
        <v>1.1.2</v>
      </c>
      <c r="F122" s="11" t="str">
        <f>_xlfn.XLOOKUP(TabelaTransformada[[#This Row],[Conta]],TabelaCadastroCategorias[Conta],TabelaCadastroCategorias[CodContaContabil],"Não encontrado")</f>
        <v>1.1.2</v>
      </c>
    </row>
    <row r="123" spans="1:6" x14ac:dyDescent="0.4">
      <c r="A123" t="s">
        <v>184</v>
      </c>
      <c r="C123" s="26" t="s">
        <v>199</v>
      </c>
      <c r="D123" s="11" t="str">
        <f>_xlfn.XLOOKUP(TabelaTransformada[[#This Row],[Conta]],TabelaCadastroCategorias[Conta],TabelaCadastroCategorias[GrupoConta],"Não encontrado")</f>
        <v>200 - Vendas</v>
      </c>
      <c r="E123" s="11" t="str">
        <f>_xlfn.XLOOKUP(TabelaTransformada[[#This Row],[Conta]],TabelaCadastroCategorias[Conta],TabelaCadastroCategorias[CodConta],"Não encontrado")</f>
        <v>1.1.2</v>
      </c>
      <c r="F123" s="11" t="str">
        <f>_xlfn.XLOOKUP(TabelaTransformada[[#This Row],[Conta]],TabelaCadastroCategorias[Conta],TabelaCadastroCategorias[CodContaContabil],"Não encontrado")</f>
        <v>1.1.2</v>
      </c>
    </row>
    <row r="124" spans="1:6" x14ac:dyDescent="0.4">
      <c r="A124" t="s">
        <v>188</v>
      </c>
      <c r="C124" s="26" t="s">
        <v>199</v>
      </c>
      <c r="D124" s="11" t="str">
        <f>_xlfn.XLOOKUP(TabelaTransformada[[#This Row],[Conta]],TabelaCadastroCategorias[Conta],TabelaCadastroCategorias[GrupoConta],"Não encontrado")</f>
        <v>200 - Vendas</v>
      </c>
      <c r="E124" s="11" t="str">
        <f>_xlfn.XLOOKUP(TabelaTransformada[[#This Row],[Conta]],TabelaCadastroCategorias[Conta],TabelaCadastroCategorias[CodConta],"Não encontrado")</f>
        <v>1.1.2</v>
      </c>
      <c r="F124" s="11" t="str">
        <f>_xlfn.XLOOKUP(TabelaTransformada[[#This Row],[Conta]],TabelaCadastroCategorias[Conta],TabelaCadastroCategorias[CodContaContabil],"Não encontrado")</f>
        <v>1.1.2</v>
      </c>
    </row>
    <row r="125" spans="1:6" x14ac:dyDescent="0.4">
      <c r="A125" t="s">
        <v>189</v>
      </c>
      <c r="C125" s="26" t="s">
        <v>199</v>
      </c>
      <c r="D125" s="11" t="str">
        <f>_xlfn.XLOOKUP(TabelaTransformada[[#This Row],[Conta]],TabelaCadastroCategorias[Conta],TabelaCadastroCategorias[GrupoConta],"Não encontrado")</f>
        <v>200 - Vendas</v>
      </c>
      <c r="E125" s="11" t="str">
        <f>_xlfn.XLOOKUP(TabelaTransformada[[#This Row],[Conta]],TabelaCadastroCategorias[Conta],TabelaCadastroCategorias[CodConta],"Não encontrado")</f>
        <v>1.1.2</v>
      </c>
      <c r="F125" s="11" t="str">
        <f>_xlfn.XLOOKUP(TabelaTransformada[[#This Row],[Conta]],TabelaCadastroCategorias[Conta],TabelaCadastroCategorias[CodContaContabil],"Não encontrado")</f>
        <v>1.1.2</v>
      </c>
    </row>
    <row r="126" spans="1:6" x14ac:dyDescent="0.4">
      <c r="A126" t="s">
        <v>182</v>
      </c>
      <c r="C126" s="26" t="s">
        <v>199</v>
      </c>
      <c r="D126" s="11" t="str">
        <f>_xlfn.XLOOKUP(TabelaTransformada[[#This Row],[Conta]],TabelaCadastroCategorias[Conta],TabelaCadastroCategorias[GrupoConta],"Não encontrado")</f>
        <v>200 - Vendas</v>
      </c>
      <c r="E126" s="11" t="str">
        <f>_xlfn.XLOOKUP(TabelaTransformada[[#This Row],[Conta]],TabelaCadastroCategorias[Conta],TabelaCadastroCategorias[CodConta],"Não encontrado")</f>
        <v>1.1.2</v>
      </c>
      <c r="F126" s="11" t="str">
        <f>_xlfn.XLOOKUP(TabelaTransformada[[#This Row],[Conta]],TabelaCadastroCategorias[Conta],TabelaCadastroCategorias[CodContaContabil],"Não encontrado")</f>
        <v>1.1.2</v>
      </c>
    </row>
    <row r="127" spans="1:6" x14ac:dyDescent="0.4">
      <c r="A127" t="s">
        <v>183</v>
      </c>
      <c r="C127" s="26" t="s">
        <v>199</v>
      </c>
      <c r="D127" s="11" t="str">
        <f>_xlfn.XLOOKUP(TabelaTransformada[[#This Row],[Conta]],TabelaCadastroCategorias[Conta],TabelaCadastroCategorias[GrupoConta],"Não encontrado")</f>
        <v>200 - Vendas</v>
      </c>
      <c r="E127" s="11" t="str">
        <f>_xlfn.XLOOKUP(TabelaTransformada[[#This Row],[Conta]],TabelaCadastroCategorias[Conta],TabelaCadastroCategorias[CodConta],"Não encontrado")</f>
        <v>1.1.2</v>
      </c>
      <c r="F127" s="11" t="str">
        <f>_xlfn.XLOOKUP(TabelaTransformada[[#This Row],[Conta]],TabelaCadastroCategorias[Conta],TabelaCadastroCategorias[CodContaContabil],"Não encontrado")</f>
        <v>1.1.2</v>
      </c>
    </row>
    <row r="128" spans="1:6" x14ac:dyDescent="0.4">
      <c r="A128" t="s">
        <v>193</v>
      </c>
      <c r="C128" s="26" t="s">
        <v>199</v>
      </c>
      <c r="D128" s="11" t="str">
        <f>_xlfn.XLOOKUP(TabelaTransformada[[#This Row],[Conta]],TabelaCadastroCategorias[Conta],TabelaCadastroCategorias[GrupoConta],"Não encontrado")</f>
        <v>200 - Vendas</v>
      </c>
      <c r="E128" s="11" t="str">
        <f>_xlfn.XLOOKUP(TabelaTransformada[[#This Row],[Conta]],TabelaCadastroCategorias[Conta],TabelaCadastroCategorias[CodConta],"Não encontrado")</f>
        <v>1.1.2</v>
      </c>
      <c r="F128" s="11" t="str">
        <f>_xlfn.XLOOKUP(TabelaTransformada[[#This Row],[Conta]],TabelaCadastroCategorias[Conta],TabelaCadastroCategorias[CodContaContabil],"Não encontrado")</f>
        <v>1.1.2</v>
      </c>
    </row>
    <row r="129" spans="1:6" x14ac:dyDescent="0.4">
      <c r="A129" t="s">
        <v>189</v>
      </c>
      <c r="C129" s="27" t="s">
        <v>199</v>
      </c>
      <c r="D129" s="28" t="str">
        <f>_xlfn.XLOOKUP(TabelaTransformada[[#This Row],[Conta]],TabelaCadastroCategorias[Conta],TabelaCadastroCategorias[GrupoConta],"Não encontrado")</f>
        <v>200 - Vendas</v>
      </c>
      <c r="E129" s="28" t="str">
        <f>_xlfn.XLOOKUP(TabelaTransformada[[#This Row],[Conta]],TabelaCadastroCategorias[Conta],TabelaCadastroCategorias[CodConta],"Não encontrado")</f>
        <v>1.1.2</v>
      </c>
      <c r="F129" s="28" t="str">
        <f>_xlfn.XLOOKUP(TabelaTransformada[[#This Row],[Conta]],TabelaCadastroCategorias[Conta],TabelaCadastroCategorias[CodContaContabil],"Não encontrado")</f>
        <v>1.1.2</v>
      </c>
    </row>
    <row r="130" spans="1:6" x14ac:dyDescent="0.4">
      <c r="A130" t="s">
        <v>191</v>
      </c>
      <c r="C130" s="26" t="s">
        <v>201</v>
      </c>
      <c r="D130" s="11" t="str">
        <f>_xlfn.XLOOKUP(TabelaTransformada[[#This Row],[Conta]],TabelaCadastroCategorias[Conta],TabelaCadastroCategorias[GrupoConta],"Não encontrado")</f>
        <v>201 - Vendas</v>
      </c>
      <c r="E130" s="11" t="str">
        <f>_xlfn.XLOOKUP(TabelaTransformada[[#This Row],[Conta]],TabelaCadastroCategorias[Conta],TabelaCadastroCategorias[CodConta],"Não encontrado")</f>
        <v>1.1.2</v>
      </c>
      <c r="F130" s="11" t="str">
        <f>_xlfn.XLOOKUP(TabelaTransformada[[#This Row],[Conta]],TabelaCadastroCategorias[Conta],TabelaCadastroCategorias[CodContaContabil],"Não encontrado")</f>
        <v>1.1.2</v>
      </c>
    </row>
    <row r="131" spans="1:6" x14ac:dyDescent="0.4">
      <c r="A131" t="s">
        <v>191</v>
      </c>
      <c r="C131" s="27" t="s">
        <v>201</v>
      </c>
      <c r="D131" s="28" t="str">
        <f>_xlfn.XLOOKUP(TabelaTransformada[[#This Row],[Conta]],TabelaCadastroCategorias[Conta],TabelaCadastroCategorias[GrupoConta],"Não encontrado")</f>
        <v>201 - Vendas</v>
      </c>
      <c r="E131" s="28" t="str">
        <f>_xlfn.XLOOKUP(TabelaTransformada[[#This Row],[Conta]],TabelaCadastroCategorias[Conta],TabelaCadastroCategorias[CodConta],"Não encontrado")</f>
        <v>1.1.2</v>
      </c>
      <c r="F131" s="28" t="str">
        <f>_xlfn.XLOOKUP(TabelaTransformada[[#This Row],[Conta]],TabelaCadastroCategorias[Conta],TabelaCadastroCategorias[CodContaContabil],"Não encontrado")</f>
        <v>1.1.2</v>
      </c>
    </row>
    <row r="132" spans="1:6" x14ac:dyDescent="0.4">
      <c r="A132" t="s">
        <v>182</v>
      </c>
      <c r="C132" s="26" t="s">
        <v>199</v>
      </c>
      <c r="D132" s="11" t="str">
        <f>_xlfn.XLOOKUP(TabelaTransformada[[#This Row],[Conta]],TabelaCadastroCategorias[Conta],TabelaCadastroCategorias[GrupoConta],"Não encontrado")</f>
        <v>200 - Vendas</v>
      </c>
      <c r="E132" s="11" t="str">
        <f>_xlfn.XLOOKUP(TabelaTransformada[[#This Row],[Conta]],TabelaCadastroCategorias[Conta],TabelaCadastroCategorias[CodConta],"Não encontrado")</f>
        <v>1.1.2</v>
      </c>
      <c r="F132" s="11" t="str">
        <f>_xlfn.XLOOKUP(TabelaTransformada[[#This Row],[Conta]],TabelaCadastroCategorias[Conta],TabelaCadastroCategorias[CodContaContabil],"Não encontrado")</f>
        <v>1.1.2</v>
      </c>
    </row>
    <row r="133" spans="1:6" x14ac:dyDescent="0.4">
      <c r="A133" t="s">
        <v>183</v>
      </c>
      <c r="C133" s="26" t="s">
        <v>199</v>
      </c>
      <c r="D133" s="11" t="str">
        <f>_xlfn.XLOOKUP(TabelaTransformada[[#This Row],[Conta]],TabelaCadastroCategorias[Conta],TabelaCadastroCategorias[GrupoConta],"Não encontrado")</f>
        <v>200 - Vendas</v>
      </c>
      <c r="E133" s="11" t="str">
        <f>_xlfn.XLOOKUP(TabelaTransformada[[#This Row],[Conta]],TabelaCadastroCategorias[Conta],TabelaCadastroCategorias[CodConta],"Não encontrado")</f>
        <v>1.1.2</v>
      </c>
      <c r="F133" s="11" t="str">
        <f>_xlfn.XLOOKUP(TabelaTransformada[[#This Row],[Conta]],TabelaCadastroCategorias[Conta],TabelaCadastroCategorias[CodContaContabil],"Não encontrado")</f>
        <v>1.1.2</v>
      </c>
    </row>
    <row r="134" spans="1:6" x14ac:dyDescent="0.4">
      <c r="A134" t="s">
        <v>184</v>
      </c>
      <c r="C134" s="26" t="s">
        <v>199</v>
      </c>
      <c r="D134" s="11" t="str">
        <f>_xlfn.XLOOKUP(TabelaTransformada[[#This Row],[Conta]],TabelaCadastroCategorias[Conta],TabelaCadastroCategorias[GrupoConta],"Não encontrado")</f>
        <v>200 - Vendas</v>
      </c>
      <c r="E134" s="11" t="str">
        <f>_xlfn.XLOOKUP(TabelaTransformada[[#This Row],[Conta]],TabelaCadastroCategorias[Conta],TabelaCadastroCategorias[CodConta],"Não encontrado")</f>
        <v>1.1.2</v>
      </c>
      <c r="F134" s="11" t="str">
        <f>_xlfn.XLOOKUP(TabelaTransformada[[#This Row],[Conta]],TabelaCadastroCategorias[Conta],TabelaCadastroCategorias[CodContaContabil],"Não encontrado")</f>
        <v>1.1.2</v>
      </c>
    </row>
    <row r="135" spans="1:6" x14ac:dyDescent="0.4">
      <c r="A135" t="s">
        <v>188</v>
      </c>
      <c r="C135" s="27" t="s">
        <v>199</v>
      </c>
      <c r="D135" s="28" t="str">
        <f>_xlfn.XLOOKUP(TabelaTransformada[[#This Row],[Conta]],TabelaCadastroCategorias[Conta],TabelaCadastroCategorias[GrupoConta],"Não encontrado")</f>
        <v>200 - Vendas</v>
      </c>
      <c r="E135" s="28" t="str">
        <f>_xlfn.XLOOKUP(TabelaTransformada[[#This Row],[Conta]],TabelaCadastroCategorias[Conta],TabelaCadastroCategorias[CodConta],"Não encontrado")</f>
        <v>1.1.2</v>
      </c>
      <c r="F135" s="28" t="str">
        <f>_xlfn.XLOOKUP(TabelaTransformada[[#This Row],[Conta]],TabelaCadastroCategorias[Conta],TabelaCadastroCategorias[CodContaContabil],"Não encontrado")</f>
        <v>1.1.2</v>
      </c>
    </row>
    <row r="136" spans="1:6" x14ac:dyDescent="0.4">
      <c r="A136" t="s">
        <v>195</v>
      </c>
      <c r="C136" s="27" t="s">
        <v>201</v>
      </c>
      <c r="D136" s="28" t="str">
        <f>_xlfn.XLOOKUP(TabelaTransformada[[#This Row],[Conta]],TabelaCadastroCategorias[Conta],TabelaCadastroCategorias[GrupoConta],"Não encontrado")</f>
        <v>201 - Vendas</v>
      </c>
      <c r="E136" s="28" t="str">
        <f>_xlfn.XLOOKUP(TabelaTransformada[[#This Row],[Conta]],TabelaCadastroCategorias[Conta],TabelaCadastroCategorias[CodConta],"Não encontrado")</f>
        <v>1.1.2</v>
      </c>
      <c r="F136" s="28" t="str">
        <f>_xlfn.XLOOKUP(TabelaTransformada[[#This Row],[Conta]],TabelaCadastroCategorias[Conta],TabelaCadastroCategorias[CodContaContabil],"Não encontrado")</f>
        <v>1.1.2</v>
      </c>
    </row>
    <row r="137" spans="1:6" x14ac:dyDescent="0.4">
      <c r="A137" t="s">
        <v>183</v>
      </c>
      <c r="C137" s="26" t="s">
        <v>199</v>
      </c>
      <c r="D137" s="11" t="str">
        <f>_xlfn.XLOOKUP(TabelaTransformada[[#This Row],[Conta]],TabelaCadastroCategorias[Conta],TabelaCadastroCategorias[GrupoConta],"Não encontrado")</f>
        <v>200 - Vendas</v>
      </c>
      <c r="E137" s="11" t="str">
        <f>_xlfn.XLOOKUP(TabelaTransformada[[#This Row],[Conta]],TabelaCadastroCategorias[Conta],TabelaCadastroCategorias[CodConta],"Não encontrado")</f>
        <v>1.1.2</v>
      </c>
      <c r="F137" s="11" t="str">
        <f>_xlfn.XLOOKUP(TabelaTransformada[[#This Row],[Conta]],TabelaCadastroCategorias[Conta],TabelaCadastroCategorias[CodContaContabil],"Não encontrado")</f>
        <v>1.1.2</v>
      </c>
    </row>
    <row r="138" spans="1:6" x14ac:dyDescent="0.4">
      <c r="A138" t="s">
        <v>193</v>
      </c>
      <c r="C138" s="26" t="s">
        <v>199</v>
      </c>
      <c r="D138" s="11" t="str">
        <f>_xlfn.XLOOKUP(TabelaTransformada[[#This Row],[Conta]],TabelaCadastroCategorias[Conta],TabelaCadastroCategorias[GrupoConta],"Não encontrado")</f>
        <v>200 - Vendas</v>
      </c>
      <c r="E138" s="11" t="str">
        <f>_xlfn.XLOOKUP(TabelaTransformada[[#This Row],[Conta]],TabelaCadastroCategorias[Conta],TabelaCadastroCategorias[CodConta],"Não encontrado")</f>
        <v>1.1.2</v>
      </c>
      <c r="F138" s="11" t="str">
        <f>_xlfn.XLOOKUP(TabelaTransformada[[#This Row],[Conta]],TabelaCadastroCategorias[Conta],TabelaCadastroCategorias[CodContaContabil],"Não encontrado")</f>
        <v>1.1.2</v>
      </c>
    </row>
    <row r="139" spans="1:6" x14ac:dyDescent="0.4">
      <c r="A139" t="s">
        <v>188</v>
      </c>
      <c r="C139" s="26" t="s">
        <v>199</v>
      </c>
      <c r="D139" s="11" t="str">
        <f>_xlfn.XLOOKUP(TabelaTransformada[[#This Row],[Conta]],TabelaCadastroCategorias[Conta],TabelaCadastroCategorias[GrupoConta],"Não encontrado")</f>
        <v>200 - Vendas</v>
      </c>
      <c r="E139" s="11" t="str">
        <f>_xlfn.XLOOKUP(TabelaTransformada[[#This Row],[Conta]],TabelaCadastroCategorias[Conta],TabelaCadastroCategorias[CodConta],"Não encontrado")</f>
        <v>1.1.2</v>
      </c>
      <c r="F139" s="11" t="str">
        <f>_xlfn.XLOOKUP(TabelaTransformada[[#This Row],[Conta]],TabelaCadastroCategorias[Conta],TabelaCadastroCategorias[CodContaContabil],"Não encontrado")</f>
        <v>1.1.2</v>
      </c>
    </row>
    <row r="140" spans="1:6" x14ac:dyDescent="0.4">
      <c r="A140" t="s">
        <v>189</v>
      </c>
      <c r="C140" s="26" t="s">
        <v>199</v>
      </c>
      <c r="D140" s="11" t="str">
        <f>_xlfn.XLOOKUP(TabelaTransformada[[#This Row],[Conta]],TabelaCadastroCategorias[Conta],TabelaCadastroCategorias[GrupoConta],"Não encontrado")</f>
        <v>200 - Vendas</v>
      </c>
      <c r="E140" s="11" t="str">
        <f>_xlfn.XLOOKUP(TabelaTransformada[[#This Row],[Conta]],TabelaCadastroCategorias[Conta],TabelaCadastroCategorias[CodConta],"Não encontrado")</f>
        <v>1.1.2</v>
      </c>
      <c r="F140" s="11" t="str">
        <f>_xlfn.XLOOKUP(TabelaTransformada[[#This Row],[Conta]],TabelaCadastroCategorias[Conta],TabelaCadastroCategorias[CodContaContabil],"Não encontrado")</f>
        <v>1.1.2</v>
      </c>
    </row>
    <row r="141" spans="1:6" x14ac:dyDescent="0.4">
      <c r="A141" t="s">
        <v>183</v>
      </c>
      <c r="C141" s="26" t="s">
        <v>199</v>
      </c>
      <c r="D141" s="11" t="str">
        <f>_xlfn.XLOOKUP(TabelaTransformada[[#This Row],[Conta]],TabelaCadastroCategorias[Conta],TabelaCadastroCategorias[GrupoConta],"Não encontrado")</f>
        <v>200 - Vendas</v>
      </c>
      <c r="E141" s="11" t="str">
        <f>_xlfn.XLOOKUP(TabelaTransformada[[#This Row],[Conta]],TabelaCadastroCategorias[Conta],TabelaCadastroCategorias[CodConta],"Não encontrado")</f>
        <v>1.1.2</v>
      </c>
      <c r="F141" s="11" t="str">
        <f>_xlfn.XLOOKUP(TabelaTransformada[[#This Row],[Conta]],TabelaCadastroCategorias[Conta],TabelaCadastroCategorias[CodContaContabil],"Não encontrado")</f>
        <v>1.1.2</v>
      </c>
    </row>
    <row r="142" spans="1:6" x14ac:dyDescent="0.4">
      <c r="A142" t="s">
        <v>184</v>
      </c>
      <c r="C142" s="26" t="s">
        <v>199</v>
      </c>
      <c r="D142" s="11" t="str">
        <f>_xlfn.XLOOKUP(TabelaTransformada[[#This Row],[Conta]],TabelaCadastroCategorias[Conta],TabelaCadastroCategorias[GrupoConta],"Não encontrado")</f>
        <v>200 - Vendas</v>
      </c>
      <c r="E142" s="11" t="str">
        <f>_xlfn.XLOOKUP(TabelaTransformada[[#This Row],[Conta]],TabelaCadastroCategorias[Conta],TabelaCadastroCategorias[CodConta],"Não encontrado")</f>
        <v>1.1.2</v>
      </c>
      <c r="F142" s="11" t="str">
        <f>_xlfn.XLOOKUP(TabelaTransformada[[#This Row],[Conta]],TabelaCadastroCategorias[Conta],TabelaCadastroCategorias[CodContaContabil],"Não encontrado")</f>
        <v>1.1.2</v>
      </c>
    </row>
    <row r="143" spans="1:6" x14ac:dyDescent="0.4">
      <c r="A143" t="s">
        <v>188</v>
      </c>
      <c r="C143" s="26" t="s">
        <v>199</v>
      </c>
      <c r="D143" s="11" t="str">
        <f>_xlfn.XLOOKUP(TabelaTransformada[[#This Row],[Conta]],TabelaCadastroCategorias[Conta],TabelaCadastroCategorias[GrupoConta],"Não encontrado")</f>
        <v>200 - Vendas</v>
      </c>
      <c r="E143" s="11" t="str">
        <f>_xlfn.XLOOKUP(TabelaTransformada[[#This Row],[Conta]],TabelaCadastroCategorias[Conta],TabelaCadastroCategorias[CodConta],"Não encontrado")</f>
        <v>1.1.2</v>
      </c>
      <c r="F143" s="11" t="str">
        <f>_xlfn.XLOOKUP(TabelaTransformada[[#This Row],[Conta]],TabelaCadastroCategorias[Conta],TabelaCadastroCategorias[CodContaContabil],"Não encontrado")</f>
        <v>1.1.2</v>
      </c>
    </row>
    <row r="144" spans="1:6" x14ac:dyDescent="0.4">
      <c r="A144" t="s">
        <v>189</v>
      </c>
      <c r="C144" s="26" t="s">
        <v>199</v>
      </c>
      <c r="D144" s="11" t="str">
        <f>_xlfn.XLOOKUP(TabelaTransformada[[#This Row],[Conta]],TabelaCadastroCategorias[Conta],TabelaCadastroCategorias[GrupoConta],"Não encontrado")</f>
        <v>200 - Vendas</v>
      </c>
      <c r="E144" s="11" t="str">
        <f>_xlfn.XLOOKUP(TabelaTransformada[[#This Row],[Conta]],TabelaCadastroCategorias[Conta],TabelaCadastroCategorias[CodConta],"Não encontrado")</f>
        <v>1.1.2</v>
      </c>
      <c r="F144" s="11" t="str">
        <f>_xlfn.XLOOKUP(TabelaTransformada[[#This Row],[Conta]],TabelaCadastroCategorias[Conta],TabelaCadastroCategorias[CodContaContabil],"Não encontrado")</f>
        <v>1.1.2</v>
      </c>
    </row>
    <row r="145" spans="1:6" x14ac:dyDescent="0.4">
      <c r="A145" t="s">
        <v>183</v>
      </c>
      <c r="C145" s="26" t="s">
        <v>199</v>
      </c>
      <c r="D145" s="11" t="str">
        <f>_xlfn.XLOOKUP(TabelaTransformada[[#This Row],[Conta]],TabelaCadastroCategorias[Conta],TabelaCadastroCategorias[GrupoConta],"Não encontrado")</f>
        <v>200 - Vendas</v>
      </c>
      <c r="E145" s="11" t="str">
        <f>_xlfn.XLOOKUP(TabelaTransformada[[#This Row],[Conta]],TabelaCadastroCategorias[Conta],TabelaCadastroCategorias[CodConta],"Não encontrado")</f>
        <v>1.1.2</v>
      </c>
      <c r="F145" s="11" t="str">
        <f>_xlfn.XLOOKUP(TabelaTransformada[[#This Row],[Conta]],TabelaCadastroCategorias[Conta],TabelaCadastroCategorias[CodContaContabil],"Não encontrado")</f>
        <v>1.1.2</v>
      </c>
    </row>
    <row r="146" spans="1:6" x14ac:dyDescent="0.4">
      <c r="A146" t="s">
        <v>184</v>
      </c>
      <c r="C146" s="26" t="s">
        <v>199</v>
      </c>
      <c r="D146" s="11" t="str">
        <f>_xlfn.XLOOKUP(TabelaTransformada[[#This Row],[Conta]],TabelaCadastroCategorias[Conta],TabelaCadastroCategorias[GrupoConta],"Não encontrado")</f>
        <v>200 - Vendas</v>
      </c>
      <c r="E146" s="11" t="str">
        <f>_xlfn.XLOOKUP(TabelaTransformada[[#This Row],[Conta]],TabelaCadastroCategorias[Conta],TabelaCadastroCategorias[CodConta],"Não encontrado")</f>
        <v>1.1.2</v>
      </c>
      <c r="F146" s="11" t="str">
        <f>_xlfn.XLOOKUP(TabelaTransformada[[#This Row],[Conta]],TabelaCadastroCategorias[Conta],TabelaCadastroCategorias[CodContaContabil],"Não encontrado")</f>
        <v>1.1.2</v>
      </c>
    </row>
    <row r="147" spans="1:6" x14ac:dyDescent="0.4">
      <c r="A147" t="s">
        <v>188</v>
      </c>
      <c r="C147" s="26" t="s">
        <v>199</v>
      </c>
      <c r="D147" s="11" t="str">
        <f>_xlfn.XLOOKUP(TabelaTransformada[[#This Row],[Conta]],TabelaCadastroCategorias[Conta],TabelaCadastroCategorias[GrupoConta],"Não encontrado")</f>
        <v>200 - Vendas</v>
      </c>
      <c r="E147" s="11" t="str">
        <f>_xlfn.XLOOKUP(TabelaTransformada[[#This Row],[Conta]],TabelaCadastroCategorias[Conta],TabelaCadastroCategorias[CodConta],"Não encontrado")</f>
        <v>1.1.2</v>
      </c>
      <c r="F147" s="11" t="str">
        <f>_xlfn.XLOOKUP(TabelaTransformada[[#This Row],[Conta]],TabelaCadastroCategorias[Conta],TabelaCadastroCategorias[CodContaContabil],"Não encontrado")</f>
        <v>1.1.2</v>
      </c>
    </row>
    <row r="148" spans="1:6" x14ac:dyDescent="0.4">
      <c r="A148" t="s">
        <v>189</v>
      </c>
      <c r="C148" s="27" t="s">
        <v>199</v>
      </c>
      <c r="D148" s="28" t="str">
        <f>_xlfn.XLOOKUP(TabelaTransformada[[#This Row],[Conta]],TabelaCadastroCategorias[Conta],TabelaCadastroCategorias[GrupoConta],"Não encontrado")</f>
        <v>200 - Vendas</v>
      </c>
      <c r="E148" s="28" t="str">
        <f>_xlfn.XLOOKUP(TabelaTransformada[[#This Row],[Conta]],TabelaCadastroCategorias[Conta],TabelaCadastroCategorias[CodConta],"Não encontrado")</f>
        <v>1.1.2</v>
      </c>
      <c r="F148" s="28" t="str">
        <f>_xlfn.XLOOKUP(TabelaTransformada[[#This Row],[Conta]],TabelaCadastroCategorias[Conta],TabelaCadastroCategorias[CodContaContabil],"Não encontrado")</f>
        <v>1.1.2</v>
      </c>
    </row>
    <row r="149" spans="1:6" x14ac:dyDescent="0.4">
      <c r="A149" t="s">
        <v>196</v>
      </c>
      <c r="C149" s="27" t="s">
        <v>201</v>
      </c>
      <c r="D149" s="28" t="str">
        <f>_xlfn.XLOOKUP(TabelaTransformada[[#This Row],[Conta]],TabelaCadastroCategorias[Conta],TabelaCadastroCategorias[GrupoConta],"Não encontrado")</f>
        <v>201 - Vendas</v>
      </c>
      <c r="E149" s="28" t="str">
        <f>_xlfn.XLOOKUP(TabelaTransformada[[#This Row],[Conta]],TabelaCadastroCategorias[Conta],TabelaCadastroCategorias[CodConta],"Não encontrado")</f>
        <v>1.1.2</v>
      </c>
      <c r="F149" s="28" t="str">
        <f>_xlfn.XLOOKUP(TabelaTransformada[[#This Row],[Conta]],TabelaCadastroCategorias[Conta],TabelaCadastroCategorias[CodContaContabil],"Não encontrado")</f>
        <v>1.1.2</v>
      </c>
    </row>
    <row r="150" spans="1:6" x14ac:dyDescent="0.4">
      <c r="A150" t="s">
        <v>191</v>
      </c>
      <c r="C150" s="27" t="s">
        <v>201</v>
      </c>
      <c r="D150" s="28" t="str">
        <f>_xlfn.XLOOKUP(TabelaTransformada[[#This Row],[Conta]],TabelaCadastroCategorias[Conta],TabelaCadastroCategorias[GrupoConta],"Não encontrado")</f>
        <v>201 - Vendas</v>
      </c>
      <c r="E150" s="28" t="str">
        <f>_xlfn.XLOOKUP(TabelaTransformada[[#This Row],[Conta]],TabelaCadastroCategorias[Conta],TabelaCadastroCategorias[CodConta],"Não encontrado")</f>
        <v>1.1.2</v>
      </c>
      <c r="F150" s="28" t="str">
        <f>_xlfn.XLOOKUP(TabelaTransformada[[#This Row],[Conta]],TabelaCadastroCategorias[Conta],TabelaCadastroCategorias[CodContaContabil],"Não encontrado")</f>
        <v>1.1.2</v>
      </c>
    </row>
    <row r="151" spans="1:6" x14ac:dyDescent="0.4">
      <c r="A151" t="s">
        <v>182</v>
      </c>
      <c r="C151" s="26" t="s">
        <v>199</v>
      </c>
      <c r="D151" s="11" t="str">
        <f>_xlfn.XLOOKUP(TabelaTransformada[[#This Row],[Conta]],TabelaCadastroCategorias[Conta],TabelaCadastroCategorias[GrupoConta],"Não encontrado")</f>
        <v>200 - Vendas</v>
      </c>
      <c r="E151" s="11" t="str">
        <f>_xlfn.XLOOKUP(TabelaTransformada[[#This Row],[Conta]],TabelaCadastroCategorias[Conta],TabelaCadastroCategorias[CodConta],"Não encontrado")</f>
        <v>1.1.2</v>
      </c>
      <c r="F151" s="11" t="str">
        <f>_xlfn.XLOOKUP(TabelaTransformada[[#This Row],[Conta]],TabelaCadastroCategorias[Conta],TabelaCadastroCategorias[CodContaContabil],"Não encontrado")</f>
        <v>1.1.2</v>
      </c>
    </row>
    <row r="152" spans="1:6" x14ac:dyDescent="0.4">
      <c r="A152" t="s">
        <v>183</v>
      </c>
      <c r="C152" s="26" t="s">
        <v>199</v>
      </c>
      <c r="D152" s="11" t="str">
        <f>_xlfn.XLOOKUP(TabelaTransformada[[#This Row],[Conta]],TabelaCadastroCategorias[Conta],TabelaCadastroCategorias[GrupoConta],"Não encontrado")</f>
        <v>200 - Vendas</v>
      </c>
      <c r="E152" s="11" t="str">
        <f>_xlfn.XLOOKUP(TabelaTransformada[[#This Row],[Conta]],TabelaCadastroCategorias[Conta],TabelaCadastroCategorias[CodConta],"Não encontrado")</f>
        <v>1.1.2</v>
      </c>
      <c r="F152" s="11" t="str">
        <f>_xlfn.XLOOKUP(TabelaTransformada[[#This Row],[Conta]],TabelaCadastroCategorias[Conta],TabelaCadastroCategorias[CodContaContabil],"Não encontrado")</f>
        <v>1.1.2</v>
      </c>
    </row>
    <row r="153" spans="1:6" x14ac:dyDescent="0.4">
      <c r="A153" t="s">
        <v>188</v>
      </c>
      <c r="C153" s="26" t="s">
        <v>199</v>
      </c>
      <c r="D153" s="11" t="str">
        <f>_xlfn.XLOOKUP(TabelaTransformada[[#This Row],[Conta]],TabelaCadastroCategorias[Conta],TabelaCadastroCategorias[GrupoConta],"Não encontrado")</f>
        <v>200 - Vendas</v>
      </c>
      <c r="E153" s="11" t="str">
        <f>_xlfn.XLOOKUP(TabelaTransformada[[#This Row],[Conta]],TabelaCadastroCategorias[Conta],TabelaCadastroCategorias[CodConta],"Não encontrado")</f>
        <v>1.1.2</v>
      </c>
      <c r="F153" s="11" t="str">
        <f>_xlfn.XLOOKUP(TabelaTransformada[[#This Row],[Conta]],TabelaCadastroCategorias[Conta],TabelaCadastroCategorias[CodContaContabil],"Não encontrado")</f>
        <v>1.1.2</v>
      </c>
    </row>
    <row r="154" spans="1:6" x14ac:dyDescent="0.4">
      <c r="A154" t="s">
        <v>189</v>
      </c>
      <c r="C154" s="27" t="s">
        <v>199</v>
      </c>
      <c r="D154" s="28" t="str">
        <f>_xlfn.XLOOKUP(TabelaTransformada[[#This Row],[Conta]],TabelaCadastroCategorias[Conta],TabelaCadastroCategorias[GrupoConta],"Não encontrado")</f>
        <v>200 - Vendas</v>
      </c>
      <c r="E154" s="28" t="str">
        <f>_xlfn.XLOOKUP(TabelaTransformada[[#This Row],[Conta]],TabelaCadastroCategorias[Conta],TabelaCadastroCategorias[CodConta],"Não encontrado")</f>
        <v>1.1.2</v>
      </c>
      <c r="F154" s="28" t="str">
        <f>_xlfn.XLOOKUP(TabelaTransformada[[#This Row],[Conta]],TabelaCadastroCategorias[Conta],TabelaCadastroCategorias[CodContaContabil],"Não encontrado")</f>
        <v>1.1.2</v>
      </c>
    </row>
    <row r="155" spans="1:6" x14ac:dyDescent="0.4">
      <c r="A155" t="s">
        <v>194</v>
      </c>
      <c r="C155" s="26" t="s">
        <v>201</v>
      </c>
      <c r="D155" s="11" t="str">
        <f>_xlfn.XLOOKUP(TabelaTransformada[[#This Row],[Conta]],TabelaCadastroCategorias[Conta],TabelaCadastroCategorias[GrupoConta],"Não encontrado")</f>
        <v>201 - Vendas</v>
      </c>
      <c r="E155" s="11" t="str">
        <f>_xlfn.XLOOKUP(TabelaTransformada[[#This Row],[Conta]],TabelaCadastroCategorias[Conta],TabelaCadastroCategorias[CodConta],"Não encontrado")</f>
        <v>1.1.2</v>
      </c>
      <c r="F155" s="11" t="str">
        <f>_xlfn.XLOOKUP(TabelaTransformada[[#This Row],[Conta]],TabelaCadastroCategorias[Conta],TabelaCadastroCategorias[CodContaContabil],"Não encontrado")</f>
        <v>1.1.2</v>
      </c>
    </row>
    <row r="156" spans="1:6" x14ac:dyDescent="0.4">
      <c r="A156" t="s">
        <v>191</v>
      </c>
      <c r="C156" s="27" t="s">
        <v>201</v>
      </c>
      <c r="D156" s="28" t="str">
        <f>_xlfn.XLOOKUP(TabelaTransformada[[#This Row],[Conta]],TabelaCadastroCategorias[Conta],TabelaCadastroCategorias[GrupoConta],"Não encontrado")</f>
        <v>201 - Vendas</v>
      </c>
      <c r="E156" s="28" t="str">
        <f>_xlfn.XLOOKUP(TabelaTransformada[[#This Row],[Conta]],TabelaCadastroCategorias[Conta],TabelaCadastroCategorias[CodConta],"Não encontrado")</f>
        <v>1.1.2</v>
      </c>
      <c r="F156" s="28" t="str">
        <f>_xlfn.XLOOKUP(TabelaTransformada[[#This Row],[Conta]],TabelaCadastroCategorias[Conta],TabelaCadastroCategorias[CodContaContabil],"Não encontrado")</f>
        <v>1.1.2</v>
      </c>
    </row>
    <row r="157" spans="1:6" x14ac:dyDescent="0.4">
      <c r="A157" t="s">
        <v>182</v>
      </c>
      <c r="C157" s="26" t="s">
        <v>199</v>
      </c>
      <c r="D157" s="11" t="str">
        <f>_xlfn.XLOOKUP(TabelaTransformada[[#This Row],[Conta]],TabelaCadastroCategorias[Conta],TabelaCadastroCategorias[GrupoConta],"Não encontrado")</f>
        <v>200 - Vendas</v>
      </c>
      <c r="E157" s="11" t="str">
        <f>_xlfn.XLOOKUP(TabelaTransformada[[#This Row],[Conta]],TabelaCadastroCategorias[Conta],TabelaCadastroCategorias[CodConta],"Não encontrado")</f>
        <v>1.1.2</v>
      </c>
      <c r="F157" s="11" t="str">
        <f>_xlfn.XLOOKUP(TabelaTransformada[[#This Row],[Conta]],TabelaCadastroCategorias[Conta],TabelaCadastroCategorias[CodContaContabil],"Não encontrado")</f>
        <v>1.1.2</v>
      </c>
    </row>
    <row r="158" spans="1:6" x14ac:dyDescent="0.4">
      <c r="A158" t="s">
        <v>183</v>
      </c>
      <c r="C158" s="26" t="s">
        <v>199</v>
      </c>
      <c r="D158" s="11" t="str">
        <f>_xlfn.XLOOKUP(TabelaTransformada[[#This Row],[Conta]],TabelaCadastroCategorias[Conta],TabelaCadastroCategorias[GrupoConta],"Não encontrado")</f>
        <v>200 - Vendas</v>
      </c>
      <c r="E158" s="11" t="str">
        <f>_xlfn.XLOOKUP(TabelaTransformada[[#This Row],[Conta]],TabelaCadastroCategorias[Conta],TabelaCadastroCategorias[CodConta],"Não encontrado")</f>
        <v>1.1.2</v>
      </c>
      <c r="F158" s="11" t="str">
        <f>_xlfn.XLOOKUP(TabelaTransformada[[#This Row],[Conta]],TabelaCadastroCategorias[Conta],TabelaCadastroCategorias[CodContaContabil],"Não encontrado")</f>
        <v>1.1.2</v>
      </c>
    </row>
    <row r="159" spans="1:6" x14ac:dyDescent="0.4">
      <c r="A159" t="s">
        <v>184</v>
      </c>
      <c r="C159" s="26" t="s">
        <v>199</v>
      </c>
      <c r="D159" s="11" t="str">
        <f>_xlfn.XLOOKUP(TabelaTransformada[[#This Row],[Conta]],TabelaCadastroCategorias[Conta],TabelaCadastroCategorias[GrupoConta],"Não encontrado")</f>
        <v>200 - Vendas</v>
      </c>
      <c r="E159" s="11" t="str">
        <f>_xlfn.XLOOKUP(TabelaTransformada[[#This Row],[Conta]],TabelaCadastroCategorias[Conta],TabelaCadastroCategorias[CodConta],"Não encontrado")</f>
        <v>1.1.2</v>
      </c>
      <c r="F159" s="11" t="str">
        <f>_xlfn.XLOOKUP(TabelaTransformada[[#This Row],[Conta]],TabelaCadastroCategorias[Conta],TabelaCadastroCategorias[CodContaContabil],"Não encontrado")</f>
        <v>1.1.2</v>
      </c>
    </row>
    <row r="160" spans="1:6" x14ac:dyDescent="0.4">
      <c r="A160" t="s">
        <v>188</v>
      </c>
      <c r="C160" s="26" t="s">
        <v>199</v>
      </c>
      <c r="D160" s="11" t="str">
        <f>_xlfn.XLOOKUP(TabelaTransformada[[#This Row],[Conta]],TabelaCadastroCategorias[Conta],TabelaCadastroCategorias[GrupoConta],"Não encontrado")</f>
        <v>200 - Vendas</v>
      </c>
      <c r="E160" s="11" t="str">
        <f>_xlfn.XLOOKUP(TabelaTransformada[[#This Row],[Conta]],TabelaCadastroCategorias[Conta],TabelaCadastroCategorias[CodConta],"Não encontrado")</f>
        <v>1.1.2</v>
      </c>
      <c r="F160" s="11" t="str">
        <f>_xlfn.XLOOKUP(TabelaTransformada[[#This Row],[Conta]],TabelaCadastroCategorias[Conta],TabelaCadastroCategorias[CodContaContabil],"Não encontrado")</f>
        <v>1.1.2</v>
      </c>
    </row>
    <row r="161" spans="1:6" x14ac:dyDescent="0.4">
      <c r="A161" t="s">
        <v>189</v>
      </c>
      <c r="C161" s="27" t="s">
        <v>199</v>
      </c>
      <c r="D161" s="28" t="str">
        <f>_xlfn.XLOOKUP(TabelaTransformada[[#This Row],[Conta]],TabelaCadastroCategorias[Conta],TabelaCadastroCategorias[GrupoConta],"Não encontrado")</f>
        <v>200 - Vendas</v>
      </c>
      <c r="E161" s="28" t="str">
        <f>_xlfn.XLOOKUP(TabelaTransformada[[#This Row],[Conta]],TabelaCadastroCategorias[Conta],TabelaCadastroCategorias[CodConta],"Não encontrado")</f>
        <v>1.1.2</v>
      </c>
      <c r="F161" s="28" t="str">
        <f>_xlfn.XLOOKUP(TabelaTransformada[[#This Row],[Conta]],TabelaCadastroCategorias[Conta],TabelaCadastroCategorias[CodContaContabil],"Não encontrado")</f>
        <v>1.1.2</v>
      </c>
    </row>
    <row r="162" spans="1:6" x14ac:dyDescent="0.4">
      <c r="A162" t="s">
        <v>197</v>
      </c>
      <c r="C162" s="27" t="s">
        <v>201</v>
      </c>
      <c r="D162" s="28" t="str">
        <f>_xlfn.XLOOKUP(TabelaTransformada[[#This Row],[Conta]],TabelaCadastroCategorias[Conta],TabelaCadastroCategorias[GrupoConta],"Não encontrado")</f>
        <v>201 - Vendas</v>
      </c>
      <c r="E162" s="28" t="str">
        <f>_xlfn.XLOOKUP(TabelaTransformada[[#This Row],[Conta]],TabelaCadastroCategorias[Conta],TabelaCadastroCategorias[CodConta],"Não encontrado")</f>
        <v>1.1.2</v>
      </c>
      <c r="F162" s="28" t="str">
        <f>_xlfn.XLOOKUP(TabelaTransformada[[#This Row],[Conta]],TabelaCadastroCategorias[Conta],TabelaCadastroCategorias[CodContaContabil],"Não encontrado")</f>
        <v>1.1.2</v>
      </c>
    </row>
    <row r="163" spans="1:6" x14ac:dyDescent="0.4">
      <c r="A163" t="s">
        <v>188</v>
      </c>
      <c r="C163" s="26" t="s">
        <v>199</v>
      </c>
      <c r="D163" s="11" t="str">
        <f>_xlfn.XLOOKUP(TabelaTransformada[[#This Row],[Conta]],TabelaCadastroCategorias[Conta],TabelaCadastroCategorias[GrupoConta],"Não encontrado")</f>
        <v>200 - Vendas</v>
      </c>
      <c r="E163" s="11" t="str">
        <f>_xlfn.XLOOKUP(TabelaTransformada[[#This Row],[Conta]],TabelaCadastroCategorias[Conta],TabelaCadastroCategorias[CodConta],"Não encontrado")</f>
        <v>1.1.2</v>
      </c>
      <c r="F163" s="11" t="str">
        <f>_xlfn.XLOOKUP(TabelaTransformada[[#This Row],[Conta]],TabelaCadastroCategorias[Conta],TabelaCadastroCategorias[CodContaContabil],"Não encontrado")</f>
        <v>1.1.2</v>
      </c>
    </row>
    <row r="164" spans="1:6" x14ac:dyDescent="0.4">
      <c r="A164" t="s">
        <v>189</v>
      </c>
      <c r="C164" s="27" t="s">
        <v>199</v>
      </c>
      <c r="D164" s="28" t="str">
        <f>_xlfn.XLOOKUP(TabelaTransformada[[#This Row],[Conta]],TabelaCadastroCategorias[Conta],TabelaCadastroCategorias[GrupoConta],"Não encontrado")</f>
        <v>200 - Vendas</v>
      </c>
      <c r="E164" s="28" t="str">
        <f>_xlfn.XLOOKUP(TabelaTransformada[[#This Row],[Conta]],TabelaCadastroCategorias[Conta],TabelaCadastroCategorias[CodConta],"Não encontrado")</f>
        <v>1.1.2</v>
      </c>
      <c r="F164" s="28" t="str">
        <f>_xlfn.XLOOKUP(TabelaTransformada[[#This Row],[Conta]],TabelaCadastroCategorias[Conta],TabelaCadastroCategorias[CodContaContabil],"Não encontrado")</f>
        <v>1.1.2</v>
      </c>
    </row>
    <row r="165" spans="1:6" x14ac:dyDescent="0.4">
      <c r="A165" t="s">
        <v>198</v>
      </c>
      <c r="C165" s="27" t="s">
        <v>201</v>
      </c>
      <c r="D165" s="28" t="str">
        <f>_xlfn.XLOOKUP(TabelaTransformada[[#This Row],[Conta]],TabelaCadastroCategorias[Conta],TabelaCadastroCategorias[GrupoConta],"Não encontrado")</f>
        <v>201 - Vendas</v>
      </c>
      <c r="E165" s="28" t="str">
        <f>_xlfn.XLOOKUP(TabelaTransformada[[#This Row],[Conta]],TabelaCadastroCategorias[Conta],TabelaCadastroCategorias[CodConta],"Não encontrado")</f>
        <v>1.1.2</v>
      </c>
      <c r="F165" s="28" t="str">
        <f>_xlfn.XLOOKUP(TabelaTransformada[[#This Row],[Conta]],TabelaCadastroCategorias[Conta],TabelaCadastroCategorias[CodContaContabil],"Não encontrado")</f>
        <v>1.1.2</v>
      </c>
    </row>
    <row r="166" spans="1:6" x14ac:dyDescent="0.4">
      <c r="A166" t="s">
        <v>191</v>
      </c>
      <c r="C166" s="27" t="s">
        <v>201</v>
      </c>
      <c r="D166" s="11" t="str">
        <f>_xlfn.XLOOKUP(TabelaTransformada[[#This Row],[Conta]],TabelaCadastroCategorias[Conta],TabelaCadastroCategorias[GrupoConta],"Não encontrado")</f>
        <v>201 - Vendas</v>
      </c>
      <c r="E166" s="11" t="str">
        <f>_xlfn.XLOOKUP(TabelaTransformada[[#This Row],[Conta]],TabelaCadastroCategorias[Conta],TabelaCadastroCategorias[CodConta],"Não encontrado")</f>
        <v>1.1.2</v>
      </c>
      <c r="F166" s="11" t="str">
        <f>_xlfn.XLOOKUP(TabelaTransformada[[#This Row],[Conta]],TabelaCadastroCategorias[Conta],TabelaCadastroCategorias[CodContaContabil],"Não encontrado")</f>
        <v>1.1.2</v>
      </c>
    </row>
    <row r="167" spans="1:6" x14ac:dyDescent="0.4">
      <c r="A167" t="s">
        <v>183</v>
      </c>
      <c r="C167" s="26" t="s">
        <v>199</v>
      </c>
      <c r="D167" s="11" t="str">
        <f>_xlfn.XLOOKUP(TabelaTransformada[[#This Row],[Conta]],TabelaCadastroCategorias[Conta],TabelaCadastroCategorias[GrupoConta],"Não encontrado")</f>
        <v>200 - Vendas</v>
      </c>
      <c r="E167" s="11" t="str">
        <f>_xlfn.XLOOKUP(TabelaTransformada[[#This Row],[Conta]],TabelaCadastroCategorias[Conta],TabelaCadastroCategorias[CodConta],"Não encontrado")</f>
        <v>1.1.2</v>
      </c>
      <c r="F167" s="11" t="str">
        <f>_xlfn.XLOOKUP(TabelaTransformada[[#This Row],[Conta]],TabelaCadastroCategorias[Conta],TabelaCadastroCategorias[CodContaContabil],"Não encontrado")</f>
        <v>1.1.2</v>
      </c>
    </row>
    <row r="168" spans="1:6" x14ac:dyDescent="0.4">
      <c r="A168" t="s">
        <v>184</v>
      </c>
      <c r="C168" s="26" t="s">
        <v>199</v>
      </c>
      <c r="D168" s="11" t="str">
        <f>_xlfn.XLOOKUP(TabelaTransformada[[#This Row],[Conta]],TabelaCadastroCategorias[Conta],TabelaCadastroCategorias[GrupoConta],"Não encontrado")</f>
        <v>200 - Vendas</v>
      </c>
      <c r="E168" s="11" t="str">
        <f>_xlfn.XLOOKUP(TabelaTransformada[[#This Row],[Conta]],TabelaCadastroCategorias[Conta],TabelaCadastroCategorias[CodConta],"Não encontrado")</f>
        <v>1.1.2</v>
      </c>
      <c r="F168" s="11" t="str">
        <f>_xlfn.XLOOKUP(TabelaTransformada[[#This Row],[Conta]],TabelaCadastroCategorias[Conta],TabelaCadastroCategorias[CodContaContabil],"Não encontrado")</f>
        <v>1.1.2</v>
      </c>
    </row>
    <row r="169" spans="1:6" x14ac:dyDescent="0.4">
      <c r="A169" t="s">
        <v>188</v>
      </c>
      <c r="C169" s="26" t="s">
        <v>199</v>
      </c>
      <c r="D169" s="11" t="str">
        <f>_xlfn.XLOOKUP(TabelaTransformada[[#This Row],[Conta]],TabelaCadastroCategorias[Conta],TabelaCadastroCategorias[GrupoConta],"Não encontrado")</f>
        <v>200 - Vendas</v>
      </c>
      <c r="E169" s="11" t="str">
        <f>_xlfn.XLOOKUP(TabelaTransformada[[#This Row],[Conta]],TabelaCadastroCategorias[Conta],TabelaCadastroCategorias[CodConta],"Não encontrado")</f>
        <v>1.1.2</v>
      </c>
      <c r="F169" s="11" t="str">
        <f>_xlfn.XLOOKUP(TabelaTransformada[[#This Row],[Conta]],TabelaCadastroCategorias[Conta],TabelaCadastroCategorias[CodContaContabil],"Não encontrado")</f>
        <v>1.1.2</v>
      </c>
    </row>
    <row r="170" spans="1:6" x14ac:dyDescent="0.4">
      <c r="A170" t="s">
        <v>189</v>
      </c>
      <c r="C170" s="27" t="s">
        <v>199</v>
      </c>
      <c r="D170" s="28" t="str">
        <f>_xlfn.XLOOKUP(TabelaTransformada[[#This Row],[Conta]],TabelaCadastroCategorias[Conta],TabelaCadastroCategorias[GrupoConta],"Não encontrado")</f>
        <v>200 - Vendas</v>
      </c>
      <c r="E170" s="28" t="str">
        <f>_xlfn.XLOOKUP(TabelaTransformada[[#This Row],[Conta]],TabelaCadastroCategorias[Conta],TabelaCadastroCategorias[CodConta],"Não encontrado")</f>
        <v>1.1.2</v>
      </c>
      <c r="F170" s="28" t="str">
        <f>_xlfn.XLOOKUP(TabelaTransformada[[#This Row],[Conta]],TabelaCadastroCategorias[Conta],TabelaCadastroCategorias[CodContaContabil],"Não encontrado")</f>
        <v>1.1.2</v>
      </c>
    </row>
  </sheetData>
  <conditionalFormatting sqref="A171:A1048576">
    <cfRule type="duplicateValues" dxfId="0" priority="4"/>
  </conditionalFormatting>
  <pageMargins left="0.511811024" right="0.511811024" top="0.78740157499999996" bottom="0.78740157499999996" header="0.31496062000000002" footer="0.31496062000000002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4C2AFB-63E8-4B9E-8461-B98F9A1929E0}">
          <x14:formula1>
            <xm:f>CadastroCategorias!$A$2:$A$67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FF192-1571-45E6-B6E8-7CAF39224DFB}">
  <sheetPr codeName="Planilha4"/>
  <dimension ref="A1:D67"/>
  <sheetViews>
    <sheetView topLeftCell="A14" workbookViewId="0">
      <selection activeCell="A67" sqref="A67"/>
    </sheetView>
  </sheetViews>
  <sheetFormatPr defaultRowHeight="14.6" x14ac:dyDescent="0.4"/>
  <cols>
    <col min="1" max="1" width="46.61328125" bestFit="1" customWidth="1"/>
    <col min="2" max="2" width="16.3828125" bestFit="1" customWidth="1"/>
    <col min="3" max="3" width="10.4609375" customWidth="1"/>
    <col min="4" max="4" width="17.23046875" customWidth="1"/>
  </cols>
  <sheetData>
    <row r="1" spans="1:4" x14ac:dyDescent="0.4">
      <c r="A1" s="12" t="s">
        <v>13</v>
      </c>
      <c r="B1" s="13" t="s">
        <v>14</v>
      </c>
      <c r="C1" s="14" t="s">
        <v>84</v>
      </c>
      <c r="D1" s="14" t="s">
        <v>85</v>
      </c>
    </row>
    <row r="2" spans="1:4" x14ac:dyDescent="0.4">
      <c r="A2" s="15" t="s">
        <v>15</v>
      </c>
      <c r="B2" s="15" t="s">
        <v>16</v>
      </c>
      <c r="C2" s="16" t="s">
        <v>155</v>
      </c>
      <c r="D2" s="16" t="s">
        <v>155</v>
      </c>
    </row>
    <row r="3" spans="1:4" x14ac:dyDescent="0.4">
      <c r="A3" s="15" t="s">
        <v>24</v>
      </c>
      <c r="B3" s="15" t="s">
        <v>16</v>
      </c>
      <c r="C3" s="16" t="s">
        <v>155</v>
      </c>
      <c r="D3" s="16" t="s">
        <v>155</v>
      </c>
    </row>
    <row r="4" spans="1:4" x14ac:dyDescent="0.4">
      <c r="A4" s="15" t="s">
        <v>25</v>
      </c>
      <c r="B4" s="15" t="s">
        <v>16</v>
      </c>
      <c r="C4" s="16" t="s">
        <v>155</v>
      </c>
      <c r="D4" s="16" t="s">
        <v>155</v>
      </c>
    </row>
    <row r="5" spans="1:4" x14ac:dyDescent="0.4">
      <c r="A5" s="15" t="s">
        <v>26</v>
      </c>
      <c r="B5" s="15" t="s">
        <v>16</v>
      </c>
      <c r="C5" s="16" t="s">
        <v>155</v>
      </c>
      <c r="D5" s="16" t="s">
        <v>155</v>
      </c>
    </row>
    <row r="6" spans="1:4" x14ac:dyDescent="0.4">
      <c r="A6" s="15" t="s">
        <v>27</v>
      </c>
      <c r="B6" s="15" t="s">
        <v>16</v>
      </c>
      <c r="C6" s="16" t="s">
        <v>86</v>
      </c>
      <c r="D6" s="16" t="s">
        <v>86</v>
      </c>
    </row>
    <row r="7" spans="1:4" x14ac:dyDescent="0.4">
      <c r="A7" s="15" t="s">
        <v>28</v>
      </c>
      <c r="B7" s="15" t="s">
        <v>29</v>
      </c>
      <c r="C7" s="16" t="s">
        <v>155</v>
      </c>
      <c r="D7" s="16" t="s">
        <v>155</v>
      </c>
    </row>
    <row r="8" spans="1:4" x14ac:dyDescent="0.4">
      <c r="A8" s="15" t="s">
        <v>30</v>
      </c>
      <c r="B8" s="15" t="s">
        <v>29</v>
      </c>
      <c r="C8" s="16" t="s">
        <v>155</v>
      </c>
      <c r="D8" s="16" t="s">
        <v>155</v>
      </c>
    </row>
    <row r="9" spans="1:4" x14ac:dyDescent="0.4">
      <c r="A9" s="15" t="s">
        <v>31</v>
      </c>
      <c r="B9" s="15" t="s">
        <v>29</v>
      </c>
      <c r="C9" s="16" t="s">
        <v>155</v>
      </c>
      <c r="D9" s="16" t="s">
        <v>155</v>
      </c>
    </row>
    <row r="10" spans="1:4" x14ac:dyDescent="0.4">
      <c r="A10" s="15" t="s">
        <v>32</v>
      </c>
      <c r="B10" s="15" t="s">
        <v>33</v>
      </c>
      <c r="C10" s="16" t="s">
        <v>155</v>
      </c>
      <c r="D10" s="16" t="s">
        <v>155</v>
      </c>
    </row>
    <row r="11" spans="1:4" x14ac:dyDescent="0.4">
      <c r="A11" s="15" t="s">
        <v>34</v>
      </c>
      <c r="B11" s="15" t="s">
        <v>33</v>
      </c>
      <c r="C11" s="16" t="s">
        <v>155</v>
      </c>
      <c r="D11" s="16" t="s">
        <v>155</v>
      </c>
    </row>
    <row r="12" spans="1:4" x14ac:dyDescent="0.4">
      <c r="A12" s="15" t="s">
        <v>35</v>
      </c>
      <c r="B12" s="15" t="s">
        <v>33</v>
      </c>
      <c r="C12" s="16" t="s">
        <v>155</v>
      </c>
      <c r="D12" s="16" t="s">
        <v>155</v>
      </c>
    </row>
    <row r="13" spans="1:4" x14ac:dyDescent="0.4">
      <c r="A13" s="15" t="s">
        <v>36</v>
      </c>
      <c r="B13" s="15" t="s">
        <v>33</v>
      </c>
      <c r="C13" s="16" t="s">
        <v>155</v>
      </c>
      <c r="D13" s="16" t="s">
        <v>155</v>
      </c>
    </row>
    <row r="14" spans="1:4" x14ac:dyDescent="0.4">
      <c r="A14" s="15" t="s">
        <v>37</v>
      </c>
      <c r="B14" s="15" t="s">
        <v>33</v>
      </c>
      <c r="C14" s="16" t="s">
        <v>155</v>
      </c>
      <c r="D14" s="16" t="s">
        <v>155</v>
      </c>
    </row>
    <row r="15" spans="1:4" x14ac:dyDescent="0.4">
      <c r="A15" s="15" t="s">
        <v>38</v>
      </c>
      <c r="B15" s="15" t="s">
        <v>39</v>
      </c>
      <c r="C15" s="16" t="s">
        <v>158</v>
      </c>
      <c r="D15" s="16" t="s">
        <v>158</v>
      </c>
    </row>
    <row r="16" spans="1:4" x14ac:dyDescent="0.4">
      <c r="A16" s="15" t="s">
        <v>40</v>
      </c>
      <c r="B16" s="15" t="s">
        <v>39</v>
      </c>
      <c r="C16" s="22" t="s">
        <v>177</v>
      </c>
      <c r="D16" s="22" t="s">
        <v>177</v>
      </c>
    </row>
    <row r="17" spans="1:4" x14ac:dyDescent="0.4">
      <c r="A17" s="15" t="s">
        <v>41</v>
      </c>
      <c r="B17" s="15" t="s">
        <v>39</v>
      </c>
      <c r="C17" s="16" t="s">
        <v>158</v>
      </c>
      <c r="D17" s="16" t="s">
        <v>158</v>
      </c>
    </row>
    <row r="18" spans="1:4" x14ac:dyDescent="0.4">
      <c r="A18" s="15" t="s">
        <v>42</v>
      </c>
      <c r="B18" s="15" t="s">
        <v>39</v>
      </c>
      <c r="C18" s="16" t="s">
        <v>157</v>
      </c>
      <c r="D18" s="16" t="s">
        <v>157</v>
      </c>
    </row>
    <row r="19" spans="1:4" x14ac:dyDescent="0.4">
      <c r="A19" s="15" t="s">
        <v>43</v>
      </c>
      <c r="B19" s="15" t="s">
        <v>44</v>
      </c>
      <c r="C19" s="16" t="s">
        <v>158</v>
      </c>
      <c r="D19" s="16" t="s">
        <v>158</v>
      </c>
    </row>
    <row r="20" spans="1:4" x14ac:dyDescent="0.4">
      <c r="A20" s="15" t="s">
        <v>45</v>
      </c>
      <c r="B20" s="15" t="s">
        <v>44</v>
      </c>
      <c r="C20" s="16" t="s">
        <v>158</v>
      </c>
      <c r="D20" s="16" t="s">
        <v>158</v>
      </c>
    </row>
    <row r="21" spans="1:4" x14ac:dyDescent="0.4">
      <c r="A21" s="15" t="s">
        <v>46</v>
      </c>
      <c r="B21" s="15" t="s">
        <v>44</v>
      </c>
      <c r="C21" s="16" t="s">
        <v>158</v>
      </c>
      <c r="D21" s="16" t="s">
        <v>158</v>
      </c>
    </row>
    <row r="22" spans="1:4" x14ac:dyDescent="0.4">
      <c r="A22" s="15" t="s">
        <v>47</v>
      </c>
      <c r="B22" s="15" t="s">
        <v>44</v>
      </c>
      <c r="C22" s="22" t="s">
        <v>178</v>
      </c>
      <c r="D22" s="22" t="s">
        <v>178</v>
      </c>
    </row>
    <row r="23" spans="1:4" x14ac:dyDescent="0.4">
      <c r="A23" s="15" t="s">
        <v>48</v>
      </c>
      <c r="B23" s="15" t="s">
        <v>44</v>
      </c>
      <c r="C23" s="22" t="s">
        <v>158</v>
      </c>
      <c r="D23" s="22" t="s">
        <v>158</v>
      </c>
    </row>
    <row r="24" spans="1:4" x14ac:dyDescent="0.4">
      <c r="A24" s="15" t="s">
        <v>49</v>
      </c>
      <c r="B24" s="15" t="s">
        <v>44</v>
      </c>
      <c r="C24" s="16" t="s">
        <v>156</v>
      </c>
      <c r="D24" s="16" t="s">
        <v>156</v>
      </c>
    </row>
    <row r="25" spans="1:4" x14ac:dyDescent="0.4">
      <c r="A25" s="15" t="s">
        <v>50</v>
      </c>
      <c r="B25" s="15" t="s">
        <v>51</v>
      </c>
      <c r="C25" s="16" t="s">
        <v>87</v>
      </c>
      <c r="D25" s="16" t="s">
        <v>87</v>
      </c>
    </row>
    <row r="26" spans="1:4" x14ac:dyDescent="0.4">
      <c r="A26" s="15" t="s">
        <v>52</v>
      </c>
      <c r="B26" s="15" t="s">
        <v>51</v>
      </c>
      <c r="C26" s="16" t="s">
        <v>156</v>
      </c>
      <c r="D26" s="16" t="s">
        <v>156</v>
      </c>
    </row>
    <row r="27" spans="1:4" x14ac:dyDescent="0.4">
      <c r="A27" s="15" t="s">
        <v>53</v>
      </c>
      <c r="B27" s="15" t="s">
        <v>51</v>
      </c>
      <c r="C27" s="16" t="s">
        <v>156</v>
      </c>
      <c r="D27" s="16" t="s">
        <v>156</v>
      </c>
    </row>
    <row r="28" spans="1:4" x14ac:dyDescent="0.4">
      <c r="A28" s="15" t="s">
        <v>54</v>
      </c>
      <c r="B28" s="15" t="s">
        <v>51</v>
      </c>
      <c r="C28" s="16" t="s">
        <v>156</v>
      </c>
      <c r="D28" s="16" t="s">
        <v>156</v>
      </c>
    </row>
    <row r="29" spans="1:4" x14ac:dyDescent="0.4">
      <c r="A29" s="15" t="s">
        <v>55</v>
      </c>
      <c r="B29" s="15" t="s">
        <v>51</v>
      </c>
      <c r="C29" s="16" t="s">
        <v>156</v>
      </c>
      <c r="D29" s="16" t="s">
        <v>156</v>
      </c>
    </row>
    <row r="30" spans="1:4" x14ac:dyDescent="0.4">
      <c r="A30" s="15" t="s">
        <v>56</v>
      </c>
      <c r="B30" s="15" t="s">
        <v>51</v>
      </c>
      <c r="C30" s="22" t="s">
        <v>86</v>
      </c>
      <c r="D30" s="22" t="s">
        <v>86</v>
      </c>
    </row>
    <row r="31" spans="1:4" x14ac:dyDescent="0.4">
      <c r="A31" s="15" t="s">
        <v>57</v>
      </c>
      <c r="B31" s="15" t="s">
        <v>51</v>
      </c>
      <c r="C31" s="16" t="s">
        <v>156</v>
      </c>
      <c r="D31" s="16" t="s">
        <v>156</v>
      </c>
    </row>
    <row r="32" spans="1:4" x14ac:dyDescent="0.4">
      <c r="A32" s="15" t="s">
        <v>58</v>
      </c>
      <c r="B32" s="15" t="s">
        <v>51</v>
      </c>
      <c r="C32" s="16" t="s">
        <v>156</v>
      </c>
      <c r="D32" s="16" t="s">
        <v>156</v>
      </c>
    </row>
    <row r="33" spans="1:4" x14ac:dyDescent="0.4">
      <c r="A33" s="16" t="s">
        <v>59</v>
      </c>
      <c r="B33" s="15" t="s">
        <v>51</v>
      </c>
      <c r="C33" s="16" t="s">
        <v>87</v>
      </c>
      <c r="D33" s="16" t="s">
        <v>87</v>
      </c>
    </row>
    <row r="34" spans="1:4" x14ac:dyDescent="0.4">
      <c r="A34" s="15" t="s">
        <v>60</v>
      </c>
      <c r="B34" s="15" t="s">
        <v>51</v>
      </c>
      <c r="C34" s="22" t="s">
        <v>161</v>
      </c>
      <c r="D34" s="22" t="s">
        <v>161</v>
      </c>
    </row>
    <row r="35" spans="1:4" x14ac:dyDescent="0.4">
      <c r="A35" s="15" t="s">
        <v>61</v>
      </c>
      <c r="B35" s="15" t="s">
        <v>51</v>
      </c>
      <c r="C35" s="22" t="s">
        <v>179</v>
      </c>
      <c r="D35" s="22" t="s">
        <v>179</v>
      </c>
    </row>
    <row r="36" spans="1:4" x14ac:dyDescent="0.4">
      <c r="A36" s="15" t="s">
        <v>62</v>
      </c>
      <c r="B36" s="15" t="s">
        <v>18</v>
      </c>
      <c r="C36" s="16" t="s">
        <v>155</v>
      </c>
      <c r="D36" s="16" t="s">
        <v>155</v>
      </c>
    </row>
    <row r="37" spans="1:4" x14ac:dyDescent="0.4">
      <c r="A37" s="15" t="s">
        <v>63</v>
      </c>
      <c r="B37" s="15" t="s">
        <v>18</v>
      </c>
      <c r="C37" s="22" t="s">
        <v>178</v>
      </c>
      <c r="D37" s="22" t="s">
        <v>178</v>
      </c>
    </row>
    <row r="38" spans="1:4" x14ac:dyDescent="0.4">
      <c r="A38" s="15" t="s">
        <v>64</v>
      </c>
      <c r="B38" s="15" t="s">
        <v>18</v>
      </c>
      <c r="C38" s="16" t="s">
        <v>87</v>
      </c>
      <c r="D38" s="16" t="s">
        <v>87</v>
      </c>
    </row>
    <row r="39" spans="1:4" x14ac:dyDescent="0.4">
      <c r="A39" s="15" t="s">
        <v>65</v>
      </c>
      <c r="B39" s="15" t="s">
        <v>18</v>
      </c>
      <c r="C39" s="16" t="s">
        <v>156</v>
      </c>
      <c r="D39" s="16" t="s">
        <v>156</v>
      </c>
    </row>
    <row r="40" spans="1:4" x14ac:dyDescent="0.4">
      <c r="A40" s="15" t="s">
        <v>66</v>
      </c>
      <c r="B40" s="15" t="s">
        <v>18</v>
      </c>
      <c r="C40" s="16" t="s">
        <v>156</v>
      </c>
      <c r="D40" s="16" t="s">
        <v>156</v>
      </c>
    </row>
    <row r="41" spans="1:4" x14ac:dyDescent="0.4">
      <c r="A41" s="15" t="s">
        <v>23</v>
      </c>
      <c r="B41" s="15" t="s">
        <v>18</v>
      </c>
      <c r="C41" s="16" t="s">
        <v>87</v>
      </c>
      <c r="D41" s="16" t="s">
        <v>87</v>
      </c>
    </row>
    <row r="42" spans="1:4" x14ac:dyDescent="0.4">
      <c r="A42" s="15" t="s">
        <v>67</v>
      </c>
      <c r="B42" s="15" t="s">
        <v>18</v>
      </c>
      <c r="C42" s="16" t="s">
        <v>87</v>
      </c>
      <c r="D42" s="16" t="s">
        <v>87</v>
      </c>
    </row>
    <row r="43" spans="1:4" x14ac:dyDescent="0.4">
      <c r="A43" s="15" t="s">
        <v>68</v>
      </c>
      <c r="B43" s="15" t="s">
        <v>18</v>
      </c>
      <c r="C43" s="22" t="s">
        <v>177</v>
      </c>
      <c r="D43" s="22" t="s">
        <v>177</v>
      </c>
    </row>
    <row r="44" spans="1:4" x14ac:dyDescent="0.4">
      <c r="A44" s="15" t="s">
        <v>69</v>
      </c>
      <c r="B44" s="15" t="s">
        <v>18</v>
      </c>
      <c r="C44" s="22" t="s">
        <v>158</v>
      </c>
      <c r="D44" s="22" t="s">
        <v>158</v>
      </c>
    </row>
    <row r="45" spans="1:4" x14ac:dyDescent="0.4">
      <c r="A45" s="15" t="s">
        <v>70</v>
      </c>
      <c r="B45" s="15" t="s">
        <v>18</v>
      </c>
      <c r="C45" s="22" t="s">
        <v>158</v>
      </c>
      <c r="D45" s="22" t="s">
        <v>158</v>
      </c>
    </row>
    <row r="46" spans="1:4" x14ac:dyDescent="0.4">
      <c r="A46" s="15" t="s">
        <v>71</v>
      </c>
      <c r="B46" s="15" t="s">
        <v>18</v>
      </c>
      <c r="C46" s="22" t="s">
        <v>177</v>
      </c>
      <c r="D46" s="22" t="s">
        <v>177</v>
      </c>
    </row>
    <row r="47" spans="1:4" x14ac:dyDescent="0.4">
      <c r="A47" s="15" t="s">
        <v>72</v>
      </c>
      <c r="B47" s="15" t="s">
        <v>18</v>
      </c>
      <c r="C47" s="16" t="s">
        <v>156</v>
      </c>
      <c r="D47" s="16" t="s">
        <v>156</v>
      </c>
    </row>
    <row r="48" spans="1:4" x14ac:dyDescent="0.4">
      <c r="A48" s="15" t="s">
        <v>22</v>
      </c>
      <c r="B48" s="15" t="s">
        <v>18</v>
      </c>
      <c r="C48" s="16" t="s">
        <v>87</v>
      </c>
      <c r="D48" s="16" t="s">
        <v>87</v>
      </c>
    </row>
    <row r="49" spans="1:4" x14ac:dyDescent="0.4">
      <c r="A49" s="15" t="s">
        <v>21</v>
      </c>
      <c r="B49" s="15" t="s">
        <v>18</v>
      </c>
      <c r="C49" s="22" t="s">
        <v>87</v>
      </c>
      <c r="D49" s="22" t="s">
        <v>87</v>
      </c>
    </row>
    <row r="50" spans="1:4" x14ac:dyDescent="0.4">
      <c r="A50" s="15" t="s">
        <v>73</v>
      </c>
      <c r="B50" s="15" t="s">
        <v>18</v>
      </c>
      <c r="C50" s="16" t="s">
        <v>156</v>
      </c>
      <c r="D50" s="16" t="s">
        <v>156</v>
      </c>
    </row>
    <row r="51" spans="1:4" x14ac:dyDescent="0.4">
      <c r="A51" s="15" t="s">
        <v>19</v>
      </c>
      <c r="B51" s="15" t="s">
        <v>18</v>
      </c>
      <c r="C51" s="16" t="s">
        <v>87</v>
      </c>
      <c r="D51" s="16" t="s">
        <v>87</v>
      </c>
    </row>
    <row r="52" spans="1:4" x14ac:dyDescent="0.4">
      <c r="A52" s="15" t="s">
        <v>74</v>
      </c>
      <c r="B52" s="15" t="s">
        <v>18</v>
      </c>
      <c r="C52" s="22" t="s">
        <v>177</v>
      </c>
      <c r="D52" s="22" t="s">
        <v>177</v>
      </c>
    </row>
    <row r="53" spans="1:4" x14ac:dyDescent="0.4">
      <c r="A53" s="15" t="s">
        <v>75</v>
      </c>
      <c r="B53" s="15" t="s">
        <v>18</v>
      </c>
      <c r="C53" s="16" t="s">
        <v>96</v>
      </c>
      <c r="D53" s="16" t="s">
        <v>96</v>
      </c>
    </row>
    <row r="54" spans="1:4" x14ac:dyDescent="0.4">
      <c r="A54" s="15" t="s">
        <v>76</v>
      </c>
      <c r="B54" s="15" t="s">
        <v>18</v>
      </c>
      <c r="C54" s="16" t="s">
        <v>180</v>
      </c>
      <c r="D54" s="16" t="s">
        <v>180</v>
      </c>
    </row>
    <row r="55" spans="1:4" x14ac:dyDescent="0.4">
      <c r="A55" s="15" t="s">
        <v>20</v>
      </c>
      <c r="B55" s="15" t="s">
        <v>18</v>
      </c>
      <c r="C55" s="16" t="s">
        <v>156</v>
      </c>
      <c r="D55" s="16" t="s">
        <v>156</v>
      </c>
    </row>
    <row r="56" spans="1:4" x14ac:dyDescent="0.4">
      <c r="A56" s="16" t="s">
        <v>17</v>
      </c>
      <c r="B56" s="15" t="s">
        <v>18</v>
      </c>
      <c r="C56" s="16" t="s">
        <v>87</v>
      </c>
      <c r="D56" s="16" t="s">
        <v>87</v>
      </c>
    </row>
    <row r="57" spans="1:4" x14ac:dyDescent="0.4">
      <c r="A57" s="16" t="s">
        <v>77</v>
      </c>
      <c r="B57" s="15" t="s">
        <v>18</v>
      </c>
      <c r="C57" s="16" t="s">
        <v>87</v>
      </c>
      <c r="D57" s="16" t="s">
        <v>87</v>
      </c>
    </row>
    <row r="58" spans="1:4" x14ac:dyDescent="0.4">
      <c r="A58" s="16" t="s">
        <v>78</v>
      </c>
      <c r="B58" s="15" t="s">
        <v>18</v>
      </c>
      <c r="C58" s="16" t="s">
        <v>87</v>
      </c>
      <c r="D58" s="16" t="s">
        <v>87</v>
      </c>
    </row>
    <row r="59" spans="1:4" x14ac:dyDescent="0.4">
      <c r="A59" s="16" t="s">
        <v>79</v>
      </c>
      <c r="B59" s="15" t="s">
        <v>18</v>
      </c>
      <c r="C59" s="16" t="s">
        <v>87</v>
      </c>
      <c r="D59" s="16" t="s">
        <v>87</v>
      </c>
    </row>
    <row r="60" spans="1:4" x14ac:dyDescent="0.4">
      <c r="A60" s="16" t="s">
        <v>80</v>
      </c>
      <c r="B60" s="15" t="s">
        <v>18</v>
      </c>
      <c r="C60" s="16" t="s">
        <v>87</v>
      </c>
      <c r="D60" s="16" t="s">
        <v>87</v>
      </c>
    </row>
    <row r="61" spans="1:4" x14ac:dyDescent="0.4">
      <c r="A61" s="16" t="s">
        <v>81</v>
      </c>
      <c r="B61" s="15" t="s">
        <v>18</v>
      </c>
      <c r="C61" s="22" t="s">
        <v>161</v>
      </c>
      <c r="D61" s="22" t="s">
        <v>161</v>
      </c>
    </row>
    <row r="62" spans="1:4" x14ac:dyDescent="0.4">
      <c r="A62" s="16" t="s">
        <v>82</v>
      </c>
      <c r="B62" s="15" t="s">
        <v>18</v>
      </c>
      <c r="C62" s="22" t="s">
        <v>161</v>
      </c>
      <c r="D62" s="22" t="s">
        <v>161</v>
      </c>
    </row>
    <row r="63" spans="1:4" x14ac:dyDescent="0.4">
      <c r="A63" s="16" t="s">
        <v>83</v>
      </c>
      <c r="B63" s="15" t="s">
        <v>18</v>
      </c>
      <c r="C63" s="22" t="s">
        <v>161</v>
      </c>
      <c r="D63" s="22" t="s">
        <v>161</v>
      </c>
    </row>
    <row r="64" spans="1:4" x14ac:dyDescent="0.4">
      <c r="A64" s="16" t="s">
        <v>91</v>
      </c>
      <c r="B64" s="17" t="s">
        <v>93</v>
      </c>
      <c r="C64" s="16" t="s">
        <v>94</v>
      </c>
      <c r="D64" s="16" t="s">
        <v>94</v>
      </c>
    </row>
    <row r="65" spans="1:4" x14ac:dyDescent="0.4">
      <c r="A65" s="16" t="s">
        <v>92</v>
      </c>
      <c r="B65" s="17" t="s">
        <v>93</v>
      </c>
      <c r="C65" s="22" t="s">
        <v>95</v>
      </c>
      <c r="D65" s="22" t="s">
        <v>95</v>
      </c>
    </row>
    <row r="66" spans="1:4" x14ac:dyDescent="0.4">
      <c r="A66" s="16" t="s">
        <v>199</v>
      </c>
      <c r="B66" s="17" t="s">
        <v>93</v>
      </c>
      <c r="C66" s="22" t="s">
        <v>95</v>
      </c>
      <c r="D66" s="22" t="s">
        <v>95</v>
      </c>
    </row>
    <row r="67" spans="1:4" x14ac:dyDescent="0.4">
      <c r="A67" s="16" t="s">
        <v>201</v>
      </c>
      <c r="B67" s="17" t="s">
        <v>200</v>
      </c>
      <c r="C67" s="22" t="s">
        <v>95</v>
      </c>
      <c r="D67" s="22" t="s">
        <v>95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BECAE027CC74C4BBE2FE34F1CB83AE4" ma:contentTypeVersion="17" ma:contentTypeDescription="Crie um novo documento." ma:contentTypeScope="" ma:versionID="d5acf97afdef07bdc715b6decaf75657">
  <xsd:schema xmlns:xsd="http://www.w3.org/2001/XMLSchema" xmlns:xs="http://www.w3.org/2001/XMLSchema" xmlns:p="http://schemas.microsoft.com/office/2006/metadata/properties" xmlns:ns2="fa2751d0-b6b4-48a0-9b05-7aa7b89906e4" xmlns:ns3="1db83954-2e66-4d45-a3e2-1448f30b874b" targetNamespace="http://schemas.microsoft.com/office/2006/metadata/properties" ma:root="true" ma:fieldsID="f108af2702387b98a537e3fb77588c58" ns2:_="" ns3:_="">
    <xsd:import namespace="fa2751d0-b6b4-48a0-9b05-7aa7b89906e4"/>
    <xsd:import namespace="1db83954-2e66-4d45-a3e2-1448f30b874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Id_client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Identifica_x00e7__x00e3_o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2751d0-b6b4-48a0-9b05-7aa7b89906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Flow_SignoffStatus" ma:index="11" nillable="true" ma:displayName="Status de liberação" ma:internalName="Status_x0020_de_x0020_libera_x00e7__x00e3_o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700bfe29-c6cf-40bf-bbcf-c0856bf050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Id_client" ma:index="18" nillable="true" ma:displayName="Id_client" ma:format="Dropdown" ma:internalName="Id_client">
      <xsd:simpleType>
        <xsd:restriction base="dms:Text">
          <xsd:maxLength value="255"/>
        </xsd:restriction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Identifica_x00e7__x00e3_o" ma:index="23" nillable="true" ma:displayName="Identificação" ma:format="Dropdown" ma:internalName="Identifica_x00e7__x00e3_o">
      <xsd:simpleType>
        <xsd:restriction base="dms:Text">
          <xsd:maxLength value="255"/>
        </xsd:restriction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b83954-2e66-4d45-a3e2-1448f30b874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a2b85c2-d84c-414f-92c0-14f58a22d4a7}" ma:internalName="TaxCatchAll" ma:showField="CatchAllData" ma:web="1db83954-2e66-4d45-a3e2-1448f30b874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a2751d0-b6b4-48a0-9b05-7aa7b89906e4">
      <Terms xmlns="http://schemas.microsoft.com/office/infopath/2007/PartnerControls"/>
    </lcf76f155ced4ddcb4097134ff3c332f>
    <_Flow_SignoffStatus xmlns="fa2751d0-b6b4-48a0-9b05-7aa7b89906e4" xsi:nil="true"/>
    <Id_client xmlns="fa2751d0-b6b4-48a0-9b05-7aa7b89906e4" xsi:nil="true"/>
    <TaxCatchAll xmlns="1db83954-2e66-4d45-a3e2-1448f30b874b" xsi:nil="true"/>
    <Identifica_x00e7__x00e3_o xmlns="fa2751d0-b6b4-48a0-9b05-7aa7b89906e4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09334794-4619-4903-9009-6E490DAD23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2751d0-b6b4-48a0-9b05-7aa7b89906e4"/>
    <ds:schemaRef ds:uri="1db83954-2e66-4d45-a3e2-1448f30b87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ECD4B0D-73AA-41FC-89EE-DFEB3353A2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E97EF3-A4B9-40DC-B98C-40546CF51532}">
  <ds:schemaRefs>
    <ds:schemaRef ds:uri="http://schemas.microsoft.com/office/2006/metadata/properties"/>
    <ds:schemaRef ds:uri="http://schemas.microsoft.com/office/infopath/2007/PartnerControls"/>
    <ds:schemaRef ds:uri="fa2751d0-b6b4-48a0-9b05-7aa7b89906e4"/>
    <ds:schemaRef ds:uri="1db83954-2e66-4d45-a3e2-1448f30b874b"/>
  </ds:schemaRefs>
</ds:datastoreItem>
</file>

<file path=customXml/itemProps4.xml><?xml version="1.0" encoding="utf-8"?>
<ds:datastoreItem xmlns:ds="http://schemas.openxmlformats.org/officeDocument/2006/customXml" ds:itemID="{016B6A38-982F-4485-8074-B86CA47DD4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BancoDeDados</vt:lpstr>
      <vt:lpstr>Planilha2</vt:lpstr>
      <vt:lpstr>CadastroMovimentacoes</vt:lpstr>
      <vt:lpstr>CadastroCategorias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Henrique Cardoso de Souza</dc:creator>
  <cp:lastModifiedBy>Sistema Impacto</cp:lastModifiedBy>
  <dcterms:created xsi:type="dcterms:W3CDTF">2015-06-05T18:17:20Z</dcterms:created>
  <dcterms:modified xsi:type="dcterms:W3CDTF">2024-02-02T20:22:00Z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0x0101002BECAE027CC74C4BBE2FE34F1CB83AE4</vt:lpwstr>
  </property>
  <property fmtid="{D5CDD505-2E9C-101B-9397-08002B2CF9AE}" pid="3" name="MediaServiceImageTags">
    <vt:lpwstr/>
  </property>
</Properties>
</file>